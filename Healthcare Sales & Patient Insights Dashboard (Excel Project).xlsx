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slicers/slicer2.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02511A8A-AFFB-4422-B140-9026D3561B3D}" xr6:coauthVersionLast="47" xr6:coauthVersionMax="47" xr10:uidLastSave="{00000000-0000-0000-0000-000000000000}"/>
  <bookViews>
    <workbookView xWindow="-120" yWindow="-120" windowWidth="20730" windowHeight="11310" tabRatio="754" xr2:uid="{2C05C5E1-694B-4A1A-B235-1DFACA0E171B}"/>
  </bookViews>
  <sheets>
    <sheet name="Final Dashboard" sheetId="11" r:id="rId1"/>
    <sheet name="data" sheetId="1" r:id="rId2"/>
    <sheet name="statewise profit" sheetId="3" r:id="rId3"/>
    <sheet name="Sheet6" sheetId="9" r:id="rId4"/>
    <sheet name="age group wise disease" sheetId="14" r:id="rId5"/>
    <sheet name="monthaly cost and %profit" sheetId="17" r:id="rId6"/>
    <sheet name="comanywise profit" sheetId="21" r:id="rId7"/>
    <sheet name="Top 5 profitable medicines" sheetId="24" r:id="rId8"/>
    <sheet name="Sheet10" sheetId="25" r:id="rId9"/>
  </sheets>
  <definedNames>
    <definedName name="_xlchart.v5.0" hidden="1">'statewise profit'!$D$19:$E$19</definedName>
    <definedName name="_xlchart.v5.1" hidden="1">'statewise profit'!$D$20:$E$31</definedName>
    <definedName name="_xlchart.v5.2" hidden="1">'statewise profit'!$F$19</definedName>
    <definedName name="_xlchart.v5.3" hidden="1">'statewise profit'!$F$20:$F$31</definedName>
    <definedName name="_xlchart.v5.4" hidden="1">'statewise profit'!$D$19:$E$19</definedName>
    <definedName name="_xlchart.v5.5" hidden="1">'statewise profit'!$D$20:$E$31</definedName>
    <definedName name="_xlchart.v5.6" hidden="1">'statewise profit'!$F$19</definedName>
    <definedName name="_xlchart.v5.7" hidden="1">'statewise profit'!$F$20:$F$31</definedName>
    <definedName name="NativeTimeline_Date">#N/A</definedName>
    <definedName name="Slicer_Medicine_Name">#N/A</definedName>
    <definedName name="Slicer_State">#N/A</definedName>
    <definedName name="Slicer_state1">#N/A</definedName>
  </definedNames>
  <calcPr calcId="191029"/>
  <pivotCaches>
    <pivotCache cacheId="46"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46BE6895-7355-4a93-B00E-2C351335B9C9}">
      <x15:slicerCaches xmlns:x14="http://schemas.microsoft.com/office/spreadsheetml/2009/9/main">
        <x14:slicerCache r:id="rId1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D3" i="2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2" i="1"/>
  <c r="E5" i="3"/>
  <c r="E6" i="3"/>
  <c r="E7" i="3"/>
  <c r="E8" i="3"/>
  <c r="E9" i="3"/>
  <c r="E10" i="3"/>
  <c r="E11" i="3"/>
  <c r="E12" i="3"/>
  <c r="E13" i="3"/>
  <c r="E14" i="3"/>
  <c r="E15" i="3"/>
  <c r="E4" i="3"/>
  <c r="E17" i="3" l="1"/>
</calcChain>
</file>

<file path=xl/sharedStrings.xml><?xml version="1.0" encoding="utf-8"?>
<sst xmlns="http://schemas.openxmlformats.org/spreadsheetml/2006/main" count="1144" uniqueCount="407">
  <si>
    <t>Medicine ID</t>
  </si>
  <si>
    <t>Medicine Name</t>
  </si>
  <si>
    <t>Company Name</t>
  </si>
  <si>
    <t>Patient Name</t>
  </si>
  <si>
    <t>Age</t>
  </si>
  <si>
    <t>Sex</t>
  </si>
  <si>
    <t>Disease</t>
  </si>
  <si>
    <t>Original Price</t>
  </si>
  <si>
    <t>Total Cost</t>
  </si>
  <si>
    <t>Profit</t>
  </si>
  <si>
    <t>Area</t>
  </si>
  <si>
    <t>City</t>
  </si>
  <si>
    <t>State</t>
  </si>
  <si>
    <t>Country</t>
  </si>
  <si>
    <t>M001</t>
  </si>
  <si>
    <t>Paracetamol</t>
  </si>
  <si>
    <t>MedLife Pharma</t>
  </si>
  <si>
    <t>Rahul Sharma</t>
  </si>
  <si>
    <t>M</t>
  </si>
  <si>
    <t>Fever</t>
  </si>
  <si>
    <t>Kothrud</t>
  </si>
  <si>
    <t>Pune</t>
  </si>
  <si>
    <t>Maharashtra</t>
  </si>
  <si>
    <t>India</t>
  </si>
  <si>
    <t>M002</t>
  </si>
  <si>
    <t>Amoxicillin</t>
  </si>
  <si>
    <t>HealthCare Ltd</t>
  </si>
  <si>
    <t>Priya Desai</t>
  </si>
  <si>
    <t>F</t>
  </si>
  <si>
    <t>Infection</t>
  </si>
  <si>
    <t>Andheri</t>
  </si>
  <si>
    <t>Mumbai</t>
  </si>
  <si>
    <t>M003</t>
  </si>
  <si>
    <t>Metformin</t>
  </si>
  <si>
    <t>GlucoWell Corp</t>
  </si>
  <si>
    <t>Anil Patil</t>
  </si>
  <si>
    <t>Diabetes</t>
  </si>
  <si>
    <t>Baner</t>
  </si>
  <si>
    <t>M004</t>
  </si>
  <si>
    <t>Cetirizine</t>
  </si>
  <si>
    <t>AllergyFree Inc</t>
  </si>
  <si>
    <t>Sneha Joshi</t>
  </si>
  <si>
    <t>Allergy</t>
  </si>
  <si>
    <t>MG Road</t>
  </si>
  <si>
    <t>Bengaluru</t>
  </si>
  <si>
    <t>Karnataka</t>
  </si>
  <si>
    <t>M005</t>
  </si>
  <si>
    <t>Ibuprofen</t>
  </si>
  <si>
    <t>PainRelief Pharma</t>
  </si>
  <si>
    <t>Karan Mehta</t>
  </si>
  <si>
    <t>Headache</t>
  </si>
  <si>
    <t>Connaught</t>
  </si>
  <si>
    <t>Delhi</t>
  </si>
  <si>
    <t>M006</t>
  </si>
  <si>
    <t>Omeprazole</t>
  </si>
  <si>
    <t>StomachCare Ltd</t>
  </si>
  <si>
    <t>Acidity</t>
  </si>
  <si>
    <t>Salt Lake</t>
  </si>
  <si>
    <t>Kolkata</t>
  </si>
  <si>
    <t>West Bengal</t>
  </si>
  <si>
    <t>M007</t>
  </si>
  <si>
    <t>Aspirin</t>
  </si>
  <si>
    <t>CardioSafe Pharma</t>
  </si>
  <si>
    <t>Vivek Nair</t>
  </si>
  <si>
    <t>Heart Disease</t>
  </si>
  <si>
    <t>Aluva</t>
  </si>
  <si>
    <t>Kochi</t>
  </si>
  <si>
    <t>Kerala</t>
  </si>
  <si>
    <t>M008</t>
  </si>
  <si>
    <t>Azithromycin</t>
  </si>
  <si>
    <t>Antibiotics Plus</t>
  </si>
  <si>
    <t>Ritu Malhotra</t>
  </si>
  <si>
    <t>Sector 17</t>
  </si>
  <si>
    <t>Chandigarh</t>
  </si>
  <si>
    <t>Punjab</t>
  </si>
  <si>
    <t>M009</t>
  </si>
  <si>
    <t>Insulin</t>
  </si>
  <si>
    <t>Suresh Kumar</t>
  </si>
  <si>
    <t>Banjara</t>
  </si>
  <si>
    <t>Hyderabad</t>
  </si>
  <si>
    <t>Telangana</t>
  </si>
  <si>
    <t>M010</t>
  </si>
  <si>
    <t>Pantoprazole</t>
  </si>
  <si>
    <t>Neha Verma</t>
  </si>
  <si>
    <t>Civil Lines</t>
  </si>
  <si>
    <t>Jaipur</t>
  </si>
  <si>
    <t>Rajasthan</t>
  </si>
  <si>
    <t>M011</t>
  </si>
  <si>
    <t>Loratadine</t>
  </si>
  <si>
    <t>Arjun Singh</t>
  </si>
  <si>
    <t>Hazratganj</t>
  </si>
  <si>
    <t>Lucknow</t>
  </si>
  <si>
    <t>Uttar Pradesh</t>
  </si>
  <si>
    <t>M012</t>
  </si>
  <si>
    <t>Diclofenac</t>
  </si>
  <si>
    <t>Kavita Rao</t>
  </si>
  <si>
    <t>Arthritis</t>
  </si>
  <si>
    <t>Gandhi Nagar</t>
  </si>
  <si>
    <t>Ahmedabad</t>
  </si>
  <si>
    <t>Gujarat</t>
  </si>
  <si>
    <t>M013</t>
  </si>
  <si>
    <t>Hydroxychloroquine</t>
  </si>
  <si>
    <t>Mohan Iyer</t>
  </si>
  <si>
    <t>Malaria</t>
  </si>
  <si>
    <t>Fort</t>
  </si>
  <si>
    <t>Chennai</t>
  </si>
  <si>
    <t>Tamil Nadu</t>
  </si>
  <si>
    <t>M014</t>
  </si>
  <si>
    <t>Doxycycline</t>
  </si>
  <si>
    <t>Pooja Shah</t>
  </si>
  <si>
    <t>Paldi</t>
  </si>
  <si>
    <t>M015</t>
  </si>
  <si>
    <t>Atorvastatin</t>
  </si>
  <si>
    <t>Rajesh Pillai</t>
  </si>
  <si>
    <t>Cholesterol</t>
  </si>
  <si>
    <t>Vashi</t>
  </si>
  <si>
    <t>Navi Mumbai</t>
  </si>
  <si>
    <t>M016</t>
  </si>
  <si>
    <t>Sunita Kulkarni</t>
  </si>
  <si>
    <t>Shivajinagar</t>
  </si>
  <si>
    <t>M017</t>
  </si>
  <si>
    <t>Deepak Jha</t>
  </si>
  <si>
    <t>Bandra</t>
  </si>
  <si>
    <t>M018</t>
  </si>
  <si>
    <t>Geeta Menon</t>
  </si>
  <si>
    <t>Indiranagar</t>
  </si>
  <si>
    <t>M019</t>
  </si>
  <si>
    <t>Ajay Yadav</t>
  </si>
  <si>
    <t>Park Street</t>
  </si>
  <si>
    <t>M020</t>
  </si>
  <si>
    <t>Shalini Kapoor</t>
  </si>
  <si>
    <t>Karol Bagh</t>
  </si>
  <si>
    <t>M021</t>
  </si>
  <si>
    <t>Ramesh Singh</t>
  </si>
  <si>
    <t>Patliputra</t>
  </si>
  <si>
    <t>Patna</t>
  </si>
  <si>
    <t>Bihar</t>
  </si>
  <si>
    <t>M022</t>
  </si>
  <si>
    <t>Anita George</t>
  </si>
  <si>
    <t>Marine Drive</t>
  </si>
  <si>
    <t>M023</t>
  </si>
  <si>
    <t>Varun Malhotra</t>
  </si>
  <si>
    <t>Residency Road</t>
  </si>
  <si>
    <t>M024</t>
  </si>
  <si>
    <t>Seema Reddy</t>
  </si>
  <si>
    <t>Begumpet</t>
  </si>
  <si>
    <t>M025</t>
  </si>
  <si>
    <t>Alok Mishra</t>
  </si>
  <si>
    <t>Lalbagh</t>
  </si>
  <si>
    <t>M026</t>
  </si>
  <si>
    <t>Neeraj Jain</t>
  </si>
  <si>
    <t>Navrangpura</t>
  </si>
  <si>
    <t>M027</t>
  </si>
  <si>
    <t>Rekha Sinha</t>
  </si>
  <si>
    <t>Adyar</t>
  </si>
  <si>
    <t>M028</t>
  </si>
  <si>
    <t>Santosh Kumar</t>
  </si>
  <si>
    <t>Anna Nagar</t>
  </si>
  <si>
    <t>M029</t>
  </si>
  <si>
    <t>Megha Patel</t>
  </si>
  <si>
    <t>Satellite</t>
  </si>
  <si>
    <t>M030</t>
  </si>
  <si>
    <t>Prakash Rao</t>
  </si>
  <si>
    <t>Whitefield</t>
  </si>
  <si>
    <t>M099</t>
  </si>
  <si>
    <t>M100</t>
  </si>
  <si>
    <t>Ananya Sen</t>
  </si>
  <si>
    <t>Behala</t>
  </si>
  <si>
    <t>M031</t>
  </si>
  <si>
    <t>Anjali Sharma</t>
  </si>
  <si>
    <t>Camp</t>
  </si>
  <si>
    <t>M032</t>
  </si>
  <si>
    <t>Rohit Desai</t>
  </si>
  <si>
    <t>Dadar</t>
  </si>
  <si>
    <t>M033</t>
  </si>
  <si>
    <t>Seema Patil</t>
  </si>
  <si>
    <t>Jayanagar</t>
  </si>
  <si>
    <t>M034</t>
  </si>
  <si>
    <t>Vikas Joshi</t>
  </si>
  <si>
    <t>Esplanade</t>
  </si>
  <si>
    <t>M035</t>
  </si>
  <si>
    <t>Neha Mehta</t>
  </si>
  <si>
    <t>Lajpat Nagar</t>
  </si>
  <si>
    <t>M036</t>
  </si>
  <si>
    <t>Arvind Gupta</t>
  </si>
  <si>
    <t>New Town</t>
  </si>
  <si>
    <t>M037</t>
  </si>
  <si>
    <t>Divya Nair</t>
  </si>
  <si>
    <t>Edappally</t>
  </si>
  <si>
    <t>M038</t>
  </si>
  <si>
    <t>Sachin Malhotra</t>
  </si>
  <si>
    <t>Manimajra</t>
  </si>
  <si>
    <t>M039</t>
  </si>
  <si>
    <t>Rekha Kumar</t>
  </si>
  <si>
    <t>Ameerpet</t>
  </si>
  <si>
    <t>M040</t>
  </si>
  <si>
    <t>Alka Verma</t>
  </si>
  <si>
    <t>Malviya Nagar</t>
  </si>
  <si>
    <t>M041</t>
  </si>
  <si>
    <t>Sameer Singh</t>
  </si>
  <si>
    <t>Charbagh</t>
  </si>
  <si>
    <t>M042</t>
  </si>
  <si>
    <t>Manisha Rao</t>
  </si>
  <si>
    <t>Ellis Bridge</t>
  </si>
  <si>
    <t>M043</t>
  </si>
  <si>
    <t>Suresh Iyer</t>
  </si>
  <si>
    <t>T Nagar</t>
  </si>
  <si>
    <t>M044</t>
  </si>
  <si>
    <t>Shweta Shah</t>
  </si>
  <si>
    <t>Naranpura</t>
  </si>
  <si>
    <t>M045</t>
  </si>
  <si>
    <t>Deepa Pillai</t>
  </si>
  <si>
    <t>Panvel</t>
  </si>
  <si>
    <t>M046</t>
  </si>
  <si>
    <t>Rajiv Kulkarni</t>
  </si>
  <si>
    <t>Hadapsar</t>
  </si>
  <si>
    <t>M047</t>
  </si>
  <si>
    <t>Meera Jha</t>
  </si>
  <si>
    <t>Khar</t>
  </si>
  <si>
    <t>M048</t>
  </si>
  <si>
    <t>Pradeep Menon</t>
  </si>
  <si>
    <t>HSR Layout</t>
  </si>
  <si>
    <t>M049</t>
  </si>
  <si>
    <t>Anita Yadav</t>
  </si>
  <si>
    <t>Ballygunge</t>
  </si>
  <si>
    <t>M050</t>
  </si>
  <si>
    <t>Arun Kapoor</t>
  </si>
  <si>
    <t>Saket</t>
  </si>
  <si>
    <t>M051</t>
  </si>
  <si>
    <t>Geeta Singh</t>
  </si>
  <si>
    <t>Kankarbagh</t>
  </si>
  <si>
    <t>M052</t>
  </si>
  <si>
    <t>Ramesh George</t>
  </si>
  <si>
    <t>Worli</t>
  </si>
  <si>
    <t>M053</t>
  </si>
  <si>
    <t>Anjali Malhotra</t>
  </si>
  <si>
    <t>M054</t>
  </si>
  <si>
    <t>Vinod Reddy</t>
  </si>
  <si>
    <t>Secunderabad</t>
  </si>
  <si>
    <t>M055</t>
  </si>
  <si>
    <t>Shreya Mishra</t>
  </si>
  <si>
    <t>Alambagh</t>
  </si>
  <si>
    <t>M056</t>
  </si>
  <si>
    <t>Harish Jain</t>
  </si>
  <si>
    <t>Maninagar</t>
  </si>
  <si>
    <t>M057</t>
  </si>
  <si>
    <t>Leela Sinha</t>
  </si>
  <si>
    <t>Velachery</t>
  </si>
  <si>
    <t>M058</t>
  </si>
  <si>
    <t>Ajay Kumar</t>
  </si>
  <si>
    <t>Guindy</t>
  </si>
  <si>
    <t>M059</t>
  </si>
  <si>
    <t>Ritika Patel</t>
  </si>
  <si>
    <t>Bopal</t>
  </si>
  <si>
    <t>M060</t>
  </si>
  <si>
    <t>Sanjay Rao</t>
  </si>
  <si>
    <t>Electronic City</t>
  </si>
  <si>
    <t>M061</t>
  </si>
  <si>
    <t>Anita Sharma</t>
  </si>
  <si>
    <t>M062</t>
  </si>
  <si>
    <t>Rajesh Desai</t>
  </si>
  <si>
    <t>Matunga</t>
  </si>
  <si>
    <t>M063</t>
  </si>
  <si>
    <t>Meena Patil</t>
  </si>
  <si>
    <t>Koramangala</t>
  </si>
  <si>
    <t>M064</t>
  </si>
  <si>
    <t>Suresh Joshi</t>
  </si>
  <si>
    <t>Howrah</t>
  </si>
  <si>
    <t>M065</t>
  </si>
  <si>
    <t>Reena Mehta</t>
  </si>
  <si>
    <t>Patel Nagar</t>
  </si>
  <si>
    <t>M066</t>
  </si>
  <si>
    <t>Prakash Gupta</t>
  </si>
  <si>
    <t>Bidhannagar</t>
  </si>
  <si>
    <t>M067</t>
  </si>
  <si>
    <t>Shalini Nair</t>
  </si>
  <si>
    <t>Kalamassery</t>
  </si>
  <si>
    <t>M068</t>
  </si>
  <si>
    <t>Arvind Malhotra</t>
  </si>
  <si>
    <t>M069</t>
  </si>
  <si>
    <t>Neha Kumar</t>
  </si>
  <si>
    <t>Madhapur</t>
  </si>
  <si>
    <t>M070</t>
  </si>
  <si>
    <t>Sanjana Verma</t>
  </si>
  <si>
    <t>Raja Park</t>
  </si>
  <si>
    <t>M071</t>
  </si>
  <si>
    <t>Ravi Singh</t>
  </si>
  <si>
    <t>Aminabad</t>
  </si>
  <si>
    <t>M072</t>
  </si>
  <si>
    <t>Smita Rao</t>
  </si>
  <si>
    <t>CG Road</t>
  </si>
  <si>
    <t>M073</t>
  </si>
  <si>
    <t>Ajay Iyer</t>
  </si>
  <si>
    <t>Mylapore</t>
  </si>
  <si>
    <t>M074</t>
  </si>
  <si>
    <t>Kirti Shah</t>
  </si>
  <si>
    <t>Ambawadi</t>
  </si>
  <si>
    <t>M075</t>
  </si>
  <si>
    <t>Manoj Pillai</t>
  </si>
  <si>
    <t>Kopar Khairane</t>
  </si>
  <si>
    <t>M076</t>
  </si>
  <si>
    <t>Sapna Kulkarni</t>
  </si>
  <si>
    <t>Erandwane</t>
  </si>
  <si>
    <t>M077</t>
  </si>
  <si>
    <t>Sachin Jha</t>
  </si>
  <si>
    <t>Sion</t>
  </si>
  <si>
    <t>M078</t>
  </si>
  <si>
    <t>Anita Menon</t>
  </si>
  <si>
    <t>Domlur</t>
  </si>
  <si>
    <t>M079</t>
  </si>
  <si>
    <t>Raj Kumar</t>
  </si>
  <si>
    <t>Tollygunge</t>
  </si>
  <si>
    <t>M080</t>
  </si>
  <si>
    <t>Megha Kapoor</t>
  </si>
  <si>
    <t>Janakpuri</t>
  </si>
  <si>
    <t>M081</t>
  </si>
  <si>
    <t>Sunil Singh</t>
  </si>
  <si>
    <t>Kadamkuan</t>
  </si>
  <si>
    <t>M082</t>
  </si>
  <si>
    <t>Geeta George</t>
  </si>
  <si>
    <t>M083</t>
  </si>
  <si>
    <t>Alok Malhotra</t>
  </si>
  <si>
    <t>M084</t>
  </si>
  <si>
    <t>Shweta Reddy</t>
  </si>
  <si>
    <t>Gachibowli</t>
  </si>
  <si>
    <t>M085</t>
  </si>
  <si>
    <t>Rajeev Mishra</t>
  </si>
  <si>
    <t>Chowk</t>
  </si>
  <si>
    <t>M086</t>
  </si>
  <si>
    <t>Anjali Jain</t>
  </si>
  <si>
    <t>Sabarmati</t>
  </si>
  <si>
    <t>M087</t>
  </si>
  <si>
    <t>Raj Sinha</t>
  </si>
  <si>
    <t>Perungudi</t>
  </si>
  <si>
    <t>M088</t>
  </si>
  <si>
    <t>Neeraj Kumar</t>
  </si>
  <si>
    <t>Nungambakkam</t>
  </si>
  <si>
    <t>M089</t>
  </si>
  <si>
    <t>Payal Patel</t>
  </si>
  <si>
    <t>Thaltej</t>
  </si>
  <si>
    <t>M090</t>
  </si>
  <si>
    <t>Arvind Rao</t>
  </si>
  <si>
    <t>Yelahanka</t>
  </si>
  <si>
    <t>M091</t>
  </si>
  <si>
    <t>Rekha Sharma</t>
  </si>
  <si>
    <t>Kalyani Nagar</t>
  </si>
  <si>
    <t>M092</t>
  </si>
  <si>
    <t>Pranav Desai</t>
  </si>
  <si>
    <t>Chembur</t>
  </si>
  <si>
    <t>M093</t>
  </si>
  <si>
    <t>Shobha Patil</t>
  </si>
  <si>
    <t>Marathahalli</t>
  </si>
  <si>
    <t>M094</t>
  </si>
  <si>
    <t>Arun Joshi</t>
  </si>
  <si>
    <t>Dum Dum</t>
  </si>
  <si>
    <t>M095</t>
  </si>
  <si>
    <t>Divya Mehta</t>
  </si>
  <si>
    <t>Rohini</t>
  </si>
  <si>
    <t>M096</t>
  </si>
  <si>
    <t>Vinay Gupta</t>
  </si>
  <si>
    <t>Baranagar</t>
  </si>
  <si>
    <t>M097</t>
  </si>
  <si>
    <t>Kavita Nair</t>
  </si>
  <si>
    <t>Thrippunithura</t>
  </si>
  <si>
    <t>M098</t>
  </si>
  <si>
    <t>Manish Malhotra</t>
  </si>
  <si>
    <t>Sec 22</t>
  </si>
  <si>
    <t>Anita Kumar</t>
  </si>
  <si>
    <t>Kukatpally</t>
  </si>
  <si>
    <t>harish Jain</t>
  </si>
  <si>
    <t>Row Labels</t>
  </si>
  <si>
    <t>Grand Total</t>
  </si>
  <si>
    <t>Count of Patient Name</t>
  </si>
  <si>
    <t>country</t>
  </si>
  <si>
    <t>Sum of Profit</t>
  </si>
  <si>
    <t>state</t>
  </si>
  <si>
    <t>% of profit</t>
  </si>
  <si>
    <t>Count of Disease</t>
  </si>
  <si>
    <t>Sum of % profit</t>
  </si>
  <si>
    <t>Date</t>
  </si>
  <si>
    <t>Age Group</t>
  </si>
  <si>
    <t>% profit</t>
  </si>
  <si>
    <t>Sum of Total Cost</t>
  </si>
  <si>
    <t>Jan</t>
  </si>
  <si>
    <t>Feb</t>
  </si>
  <si>
    <t>Mar</t>
  </si>
  <si>
    <t>Apr</t>
  </si>
  <si>
    <t>May</t>
  </si>
  <si>
    <t>Jun</t>
  </si>
  <si>
    <t>Jul</t>
  </si>
  <si>
    <t>Aug</t>
  </si>
  <si>
    <t>Sep</t>
  </si>
  <si>
    <t>Oct</t>
  </si>
  <si>
    <t>Nov</t>
  </si>
  <si>
    <t>Dec</t>
  </si>
  <si>
    <t>Adult</t>
  </si>
  <si>
    <t/>
  </si>
  <si>
    <t>Count of City</t>
  </si>
  <si>
    <t>Teenager</t>
  </si>
  <si>
    <t>Senior</t>
  </si>
  <si>
    <r>
      <rPr>
        <b/>
        <sz val="20"/>
        <color theme="1"/>
        <rFont val="Aptos Narrow"/>
        <family val="2"/>
        <scheme val="minor"/>
      </rPr>
      <t>Healthcare Sales &amp; Patient Insights Dashboard</t>
    </r>
    <r>
      <rPr>
        <b/>
        <sz val="18"/>
        <color theme="1"/>
        <rFont val="Aptos Narrow"/>
        <family val="2"/>
        <scheme val="minor"/>
      </rPr>
      <t xml:space="preserve"> </t>
    </r>
  </si>
  <si>
    <t>Insights :</t>
  </si>
  <si>
    <t>1. Insuline and atorvastatine generate the highest profit, mainly used for chronic diseases.Increase stock and marketing of these medicines</t>
  </si>
  <si>
    <t>2.Skin infection and Diabetes contribute the highest revenue and patient count</t>
  </si>
  <si>
    <t>3.Bengaluru, Hyderabad are top profit-generating cities,Expand distribution in these cities</t>
  </si>
  <si>
    <t>4.Adults &amp; Seniors (40+) contribute most revenue, mainly due to chronic diseases.</t>
  </si>
  <si>
    <t>5. Maharashtra is most profitable 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</si>
</sst>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14009]dd/mm/yyyy;@"/>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rgb="FF000000"/>
      <name val="Aptos Narrow"/>
      <family val="2"/>
      <scheme val="minor"/>
    </font>
    <font>
      <sz val="8"/>
      <name val="Aptos Narrow"/>
      <family val="2"/>
      <scheme val="minor"/>
    </font>
    <font>
      <b/>
      <sz val="18"/>
      <color theme="1"/>
      <name val="Aptos Narrow"/>
      <family val="2"/>
      <scheme val="minor"/>
    </font>
    <font>
      <b/>
      <sz val="20"/>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0" tint="-0.249977111117893"/>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8">
    <xf numFmtId="0" fontId="0" fillId="0" borderId="0" xfId="0"/>
    <xf numFmtId="49"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0" borderId="10" xfId="0" applyFont="1" applyBorder="1" applyAlignment="1">
      <alignment horizontal="left"/>
    </xf>
    <xf numFmtId="0" fontId="18" fillId="0" borderId="0" xfId="0" applyFont="1"/>
    <xf numFmtId="0" fontId="16" fillId="0" borderId="10" xfId="0" applyFont="1" applyBorder="1"/>
    <xf numFmtId="0" fontId="16" fillId="33" borderId="11" xfId="0" applyFont="1" applyFill="1" applyBorder="1"/>
    <xf numFmtId="2" fontId="0" fillId="0" borderId="0" xfId="0" applyNumberFormat="1" applyAlignment="1">
      <alignment horizontal="left"/>
    </xf>
    <xf numFmtId="10" fontId="0" fillId="0" borderId="0" xfId="0" applyNumberFormat="1"/>
    <xf numFmtId="2" fontId="0" fillId="0" borderId="0" xfId="0" applyNumberFormat="1"/>
    <xf numFmtId="166" fontId="0" fillId="0" borderId="0" xfId="0" applyNumberFormat="1"/>
    <xf numFmtId="0" fontId="0" fillId="0" borderId="0" xfId="0" applyNumberFormat="1"/>
    <xf numFmtId="0" fontId="20" fillId="34" borderId="13" xfId="0" applyFont="1" applyFill="1" applyBorder="1" applyAlignment="1">
      <alignment horizontal="center" vertical="center"/>
    </xf>
    <xf numFmtId="0" fontId="20" fillId="34" borderId="14" xfId="0" applyFont="1" applyFill="1" applyBorder="1" applyAlignment="1">
      <alignment horizontal="center" vertical="center"/>
    </xf>
    <xf numFmtId="0" fontId="20" fillId="34" borderId="15" xfId="0" applyFont="1" applyFill="1" applyBorder="1" applyAlignment="1">
      <alignment horizontal="center" vertical="center"/>
    </xf>
    <xf numFmtId="0" fontId="20" fillId="34" borderId="16" xfId="0" applyFont="1" applyFill="1" applyBorder="1" applyAlignment="1">
      <alignment horizontal="center" vertical="center"/>
    </xf>
    <xf numFmtId="0" fontId="20" fillId="34" borderId="0" xfId="0" applyFont="1" applyFill="1" applyBorder="1" applyAlignment="1">
      <alignment horizontal="center" vertical="center"/>
    </xf>
    <xf numFmtId="0" fontId="20" fillId="34" borderId="17" xfId="0" applyFont="1" applyFill="1" applyBorder="1" applyAlignment="1">
      <alignment horizontal="center" vertical="center"/>
    </xf>
    <xf numFmtId="0" fontId="20" fillId="34" borderId="18" xfId="0" applyFont="1" applyFill="1" applyBorder="1" applyAlignment="1">
      <alignment horizontal="center" vertical="center"/>
    </xf>
    <xf numFmtId="0" fontId="20" fillId="34" borderId="19" xfId="0" applyFont="1" applyFill="1" applyBorder="1" applyAlignment="1">
      <alignment horizontal="center" vertical="center"/>
    </xf>
    <xf numFmtId="0" fontId="20" fillId="34" borderId="20" xfId="0" applyFont="1" applyFill="1" applyBorder="1" applyAlignment="1">
      <alignment horizontal="center" vertical="center"/>
    </xf>
    <xf numFmtId="0" fontId="0" fillId="0" borderId="0" xfId="0" applyFill="1"/>
    <xf numFmtId="0" fontId="0" fillId="35" borderId="0" xfId="0" applyFill="1"/>
    <xf numFmtId="0" fontId="0" fillId="0" borderId="0" xfId="0" applyFill="1"/>
    <xf numFmtId="0" fontId="16" fillId="0" borderId="12" xfId="0"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numFmt numFmtId="1" formatCode="0"/>
    </dxf>
    <dxf>
      <numFmt numFmtId="30" formatCode="@"/>
    </dxf>
    <dxf>
      <numFmt numFmtId="30" formatCode="@"/>
    </dxf>
    <dxf>
      <numFmt numFmtId="30" formatCode="@"/>
    </dxf>
    <dxf>
      <numFmt numFmtId="30" formatCode="@"/>
    </dxf>
    <dxf>
      <numFmt numFmtId="30" formatCode="@"/>
    </dxf>
    <dxf>
      <numFmt numFmtId="30" formatCode="@"/>
    </dxf>
    <dxf>
      <numFmt numFmtId="1" formatCode="0"/>
    </dxf>
    <dxf>
      <numFmt numFmtId="1" formatCode="0"/>
    </dxf>
    <dxf>
      <numFmt numFmtId="1" formatCode="0"/>
    </dxf>
    <dxf>
      <numFmt numFmtId="30" formatCode="@"/>
    </dxf>
    <dxf>
      <numFmt numFmtId="30" formatCode="@"/>
    </dxf>
    <dxf>
      <numFmt numFmtId="1" formatCode="0"/>
    </dxf>
    <dxf>
      <numFmt numFmtId="30" formatCode="@"/>
    </dxf>
    <dxf>
      <numFmt numFmtId="30" formatCode="@"/>
    </dxf>
    <dxf>
      <numFmt numFmtId="30" formatCode="@"/>
    </dxf>
    <dxf>
      <numFmt numFmtId="14" formatCode="0.00%"/>
    </dxf>
    <dxf>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[data.csv.xlsx]comanywise profit!PivotTable6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of Comapny</a:t>
            </a:r>
            <a:endParaRPr lang="en-US"/>
          </a:p>
        </c:rich>
      </c:tx>
      <c:layout>
        <c:manualLayout>
          <c:xMode val="edge"/>
          <c:yMode val="edge"/>
          <c:x val="7.5267908584597656E-2"/>
          <c:y val="4.76187990313365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7587237692849369"/>
          <c:y val="0.23190501187351578"/>
          <c:w val="4.2746062992125987E-2"/>
          <c:h val="0.68646104319832946"/>
        </c:manualLayout>
      </c:layout>
      <c:barChart>
        <c:barDir val="bar"/>
        <c:grouping val="clustered"/>
        <c:varyColors val="0"/>
        <c:ser>
          <c:idx val="0"/>
          <c:order val="0"/>
          <c:tx>
            <c:strRef>
              <c:f>'comanywise profit'!$B$3</c:f>
              <c:strCache>
                <c:ptCount val="1"/>
                <c:pt idx="0">
                  <c:v>Total</c:v>
                </c:pt>
              </c:strCache>
            </c:strRef>
          </c:tx>
          <c:spPr>
            <a:solidFill>
              <a:schemeClr val="accent1"/>
            </a:solidFill>
            <a:ln>
              <a:noFill/>
            </a:ln>
            <a:effectLst/>
          </c:spPr>
          <c:invertIfNegative val="0"/>
          <c:cat>
            <c:strRef>
              <c:f>'comanywise profit'!$A$4:$A$12</c:f>
              <c:strCache>
                <c:ptCount val="8"/>
                <c:pt idx="0">
                  <c:v>Antibiotics Plus</c:v>
                </c:pt>
                <c:pt idx="1">
                  <c:v>CardioSafe Pharma</c:v>
                </c:pt>
                <c:pt idx="2">
                  <c:v>MedLife Pharma</c:v>
                </c:pt>
                <c:pt idx="3">
                  <c:v>StomachCare Ltd</c:v>
                </c:pt>
                <c:pt idx="4">
                  <c:v>PainRelief Pharma</c:v>
                </c:pt>
                <c:pt idx="5">
                  <c:v>GlucoWell Corp</c:v>
                </c:pt>
                <c:pt idx="6">
                  <c:v>HealthCare Ltd</c:v>
                </c:pt>
                <c:pt idx="7">
                  <c:v>AllergyFree Inc</c:v>
                </c:pt>
              </c:strCache>
            </c:strRef>
          </c:cat>
          <c:val>
            <c:numRef>
              <c:f>'comanywise profit'!$B$4:$B$12</c:f>
              <c:numCache>
                <c:formatCode>0.00%</c:formatCode>
                <c:ptCount val="8"/>
                <c:pt idx="0">
                  <c:v>1.264979715769432</c:v>
                </c:pt>
                <c:pt idx="1">
                  <c:v>2.285909462764482</c:v>
                </c:pt>
                <c:pt idx="2">
                  <c:v>2.3575827485450933</c:v>
                </c:pt>
                <c:pt idx="3">
                  <c:v>2.4206656716519568</c:v>
                </c:pt>
                <c:pt idx="4">
                  <c:v>2.4695226211625418</c:v>
                </c:pt>
                <c:pt idx="5">
                  <c:v>2.5203716273337964</c:v>
                </c:pt>
                <c:pt idx="6">
                  <c:v>2.6323029089947507</c:v>
                </c:pt>
                <c:pt idx="7">
                  <c:v>2.9731075240008362</c:v>
                </c:pt>
              </c:numCache>
            </c:numRef>
          </c:val>
          <c:extLst>
            <c:ext xmlns:c16="http://schemas.microsoft.com/office/drawing/2014/chart" uri="{C3380CC4-5D6E-409C-BE32-E72D297353CC}">
              <c16:uniqueId val="{00000000-3A7F-4656-A291-98C0863169CF}"/>
            </c:ext>
          </c:extLst>
        </c:ser>
        <c:dLbls>
          <c:dLblPos val="outEnd"/>
          <c:showLegendKey val="0"/>
          <c:showVal val="0"/>
          <c:showCatName val="0"/>
          <c:showSerName val="0"/>
          <c:showPercent val="0"/>
          <c:showBubbleSize val="0"/>
        </c:dLbls>
        <c:gapWidth val="219"/>
        <c:axId val="1529478816"/>
        <c:axId val="1529485056"/>
      </c:barChart>
      <c:catAx>
        <c:axId val="1529478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5056"/>
        <c:crosses val="autoZero"/>
        <c:auto val="1"/>
        <c:lblAlgn val="ctr"/>
        <c:lblOffset val="100"/>
        <c:noMultiLvlLbl val="0"/>
      </c:catAx>
      <c:valAx>
        <c:axId val="1529485056"/>
        <c:scaling>
          <c:orientation val="minMax"/>
        </c:scaling>
        <c:delete val="1"/>
        <c:axPos val="b"/>
        <c:numFmt formatCode="0%" sourceLinked="0"/>
        <c:majorTickMark val="out"/>
        <c:minorTickMark val="none"/>
        <c:tickLblPos val="nextTo"/>
        <c:crossAx val="152947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[data.csv.xlsx]monthaly cost and %profit!PivotTable4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Monthaly</a:t>
            </a:r>
            <a:r>
              <a:rPr lang="en-IN" baseline="0"/>
              <a:t> Total Cost vs Profit</a:t>
            </a:r>
            <a:endParaRPr lang="en-IN"/>
          </a:p>
        </c:rich>
      </c:tx>
      <c:layout>
        <c:manualLayout>
          <c:xMode val="edge"/>
          <c:yMode val="edge"/>
          <c:x val="0.21604211075825464"/>
          <c:y val="2.27352224587232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42857459649337"/>
          <c:y val="0.18372460313173991"/>
          <c:w val="0.79289216972878385"/>
          <c:h val="0.56891555261350402"/>
        </c:manualLayout>
      </c:layout>
      <c:barChart>
        <c:barDir val="col"/>
        <c:grouping val="clustered"/>
        <c:varyColors val="0"/>
        <c:ser>
          <c:idx val="0"/>
          <c:order val="0"/>
          <c:tx>
            <c:strRef>
              <c:f>'monthaly cost and %profit'!$B$3</c:f>
              <c:strCache>
                <c:ptCount val="1"/>
                <c:pt idx="0">
                  <c:v>Sum of Total Cost</c:v>
                </c:pt>
              </c:strCache>
            </c:strRef>
          </c:tx>
          <c:spPr>
            <a:solidFill>
              <a:schemeClr val="accent1"/>
            </a:solidFill>
            <a:ln>
              <a:noFill/>
            </a:ln>
            <a:effectLst/>
          </c:spPr>
          <c:invertIfNegative val="0"/>
          <c:cat>
            <c:strRef>
              <c:f>'monthaly cost and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'monthaly cost and %profit'!$B$4:$B$16</c:f>
              <c:numCache>
                <c:formatCode>0</c:formatCode>
                <c:ptCount val="12"/>
                <c:pt idx="0">
                  <c:v>2145</c:v>
                </c:pt>
                <c:pt idx="1">
                  <c:v>2018</c:v>
                </c:pt>
                <c:pt idx="2">
                  <c:v>3282</c:v>
                </c:pt>
                <c:pt idx="3">
                  <c:v>1309</c:v>
                </c:pt>
                <c:pt idx="4">
                  <c:v>1970</c:v>
                </c:pt>
                <c:pt idx="5">
                  <c:v>2259</c:v>
                </c:pt>
                <c:pt idx="6">
                  <c:v>1984</c:v>
                </c:pt>
                <c:pt idx="7">
                  <c:v>1028</c:v>
                </c:pt>
                <c:pt idx="8">
                  <c:v>1290</c:v>
                </c:pt>
                <c:pt idx="9">
                  <c:v>3100</c:v>
                </c:pt>
                <c:pt idx="10">
                  <c:v>1419</c:v>
                </c:pt>
                <c:pt idx="11">
                  <c:v>1524</c:v>
                </c:pt>
              </c:numCache>
            </c:numRef>
          </c:val>
          <c:extLst>
            <c:ext xmlns:c16="http://schemas.microsoft.com/office/drawing/2014/chart" uri="{C3380CC4-5D6E-409C-BE32-E72D297353CC}">
              <c16:uniqueId val="{00000000-4880-4036-8A0B-6E4AE7B306D4}"/>
            </c:ext>
          </c:extLst>
        </c:ser>
        <c:dLbls>
          <c:showLegendKey val="0"/>
          <c:showVal val="0"/>
          <c:showCatName val="0"/>
          <c:showSerName val="0"/>
          <c:showPercent val="0"/>
          <c:showBubbleSize val="0"/>
        </c:dLbls>
        <c:gapWidth val="219"/>
        <c:overlap val="-27"/>
        <c:axId val="1648489696"/>
        <c:axId val="1648489216"/>
      </c:barChart>
      <c:lineChart>
        <c:grouping val="standard"/>
        <c:varyColors val="0"/>
        <c:ser>
          <c:idx val="1"/>
          <c:order val="1"/>
          <c:tx>
            <c:strRef>
              <c:f>'monthaly cost and %profit'!$C$3</c:f>
              <c:strCache>
                <c:ptCount val="1"/>
                <c:pt idx="0">
                  <c:v>Sum of Profit</c:v>
                </c:pt>
              </c:strCache>
            </c:strRef>
          </c:tx>
          <c:spPr>
            <a:ln w="28575" cap="rnd">
              <a:solidFill>
                <a:schemeClr val="accent2"/>
              </a:solidFill>
              <a:round/>
            </a:ln>
            <a:effectLst/>
          </c:spPr>
          <c:marker>
            <c:symbol val="none"/>
          </c:marker>
          <c:cat>
            <c:strRef>
              <c:f>'monthaly cost and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'monthaly cost and %profit'!$C$4:$C$16</c:f>
              <c:numCache>
                <c:formatCode>0</c:formatCode>
                <c:ptCount val="12"/>
                <c:pt idx="0">
                  <c:v>365</c:v>
                </c:pt>
                <c:pt idx="1">
                  <c:v>388</c:v>
                </c:pt>
                <c:pt idx="2">
                  <c:v>591</c:v>
                </c:pt>
                <c:pt idx="3">
                  <c:v>238</c:v>
                </c:pt>
                <c:pt idx="4">
                  <c:v>358</c:v>
                </c:pt>
                <c:pt idx="5">
                  <c:v>414</c:v>
                </c:pt>
                <c:pt idx="6">
                  <c:v>360</c:v>
                </c:pt>
                <c:pt idx="7">
                  <c:v>195</c:v>
                </c:pt>
                <c:pt idx="8">
                  <c:v>245</c:v>
                </c:pt>
                <c:pt idx="9">
                  <c:v>545</c:v>
                </c:pt>
                <c:pt idx="10">
                  <c:v>245</c:v>
                </c:pt>
                <c:pt idx="11">
                  <c:v>278</c:v>
                </c:pt>
              </c:numCache>
            </c:numRef>
          </c:val>
          <c:smooth val="0"/>
          <c:extLst>
            <c:ext xmlns:c16="http://schemas.microsoft.com/office/drawing/2014/chart" uri="{C3380CC4-5D6E-409C-BE32-E72D297353CC}">
              <c16:uniqueId val="{00000001-4880-4036-8A0B-6E4AE7B306D4}"/>
            </c:ext>
          </c:extLst>
        </c:ser>
        <c:dLbls>
          <c:showLegendKey val="0"/>
          <c:showVal val="0"/>
          <c:showCatName val="0"/>
          <c:showSerName val="0"/>
          <c:showPercent val="0"/>
          <c:showBubbleSize val="0"/>
        </c:dLbls>
        <c:marker val="1"/>
        <c:smooth val="0"/>
        <c:axId val="1498197328"/>
        <c:axId val="1498218928"/>
      </c:lineChart>
      <c:catAx>
        <c:axId val="164848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489216"/>
        <c:crosses val="autoZero"/>
        <c:auto val="1"/>
        <c:lblAlgn val="ctr"/>
        <c:lblOffset val="100"/>
        <c:noMultiLvlLbl val="0"/>
      </c:catAx>
      <c:valAx>
        <c:axId val="16484892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489696"/>
        <c:crosses val="autoZero"/>
        <c:crossBetween val="between"/>
      </c:valAx>
      <c:valAx>
        <c:axId val="14982189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97328"/>
        <c:crosses val="max"/>
        <c:crossBetween val="between"/>
      </c:valAx>
      <c:catAx>
        <c:axId val="1498197328"/>
        <c:scaling>
          <c:orientation val="minMax"/>
        </c:scaling>
        <c:delete val="1"/>
        <c:axPos val="b"/>
        <c:numFmt formatCode="General" sourceLinked="1"/>
        <c:majorTickMark val="out"/>
        <c:minorTickMark val="none"/>
        <c:tickLblPos val="nextTo"/>
        <c:crossAx val="1498218928"/>
        <c:crosses val="autoZero"/>
        <c:auto val="1"/>
        <c:lblAlgn val="ctr"/>
        <c:lblOffset val="100"/>
        <c:noMultiLvlLbl val="0"/>
      </c:catAx>
      <c:spPr>
        <a:noFill/>
        <a:ln>
          <a:noFill/>
        </a:ln>
        <a:effectLst/>
      </c:spPr>
    </c:plotArea>
    <c:legend>
      <c:legendPos val="r"/>
      <c:layout>
        <c:manualLayout>
          <c:xMode val="edge"/>
          <c:yMode val="edge"/>
          <c:x val="6.2245112218189839E-2"/>
          <c:y val="0.88640060892419203"/>
          <c:w val="0.84612799256013538"/>
          <c:h val="9.79866232518792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[data.csv.xlsx]Sheet6!PivotTable6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Diseases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accent2"/>
          </a:solidFill>
          <a:ln>
            <a:noFill/>
          </a:ln>
          <a:effectLst/>
        </c:spPr>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accent2"/>
          </a:solidFill>
          <a:ln>
            <a:noFill/>
          </a:ln>
          <a:effectLst/>
        </c:spPr>
      </c:pivotFmt>
      <c:pivotFmt>
        <c:idx val="20"/>
        <c:spPr>
          <a:solidFill>
            <a:schemeClr val="accent2"/>
          </a:solidFill>
          <a:ln>
            <a:noFill/>
          </a:ln>
          <a:effectLst/>
        </c:spPr>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
        <c:idx val="24"/>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2"/>
          </a:solidFill>
          <a:ln>
            <a:noFill/>
          </a:ln>
          <a:effectLst/>
        </c:spPr>
      </c:pivotFmt>
      <c:pivotFmt>
        <c:idx val="26"/>
        <c:spPr>
          <a:solidFill>
            <a:schemeClr val="accent2"/>
          </a:solidFill>
          <a:ln>
            <a:noFill/>
          </a:ln>
          <a:effectLst/>
        </c:spPr>
      </c:pivotFmt>
      <c:pivotFmt>
        <c:idx val="27"/>
        <c:spPr>
          <a:solidFill>
            <a:schemeClr val="accent2"/>
          </a:solidFill>
          <a:ln>
            <a:noFill/>
          </a:ln>
          <a:effectLst/>
        </c:spPr>
      </c:pivotFmt>
      <c:pivotFmt>
        <c:idx val="28"/>
        <c:spPr>
          <a:solidFill>
            <a:schemeClr val="accent2"/>
          </a:solidFill>
          <a:ln>
            <a:noFill/>
          </a:ln>
          <a:effectLst/>
        </c:spPr>
      </c:pivotFmt>
      <c:pivotFmt>
        <c:idx val="29"/>
        <c:spPr>
          <a:solidFill>
            <a:schemeClr val="accent2"/>
          </a:solidFill>
          <a:ln>
            <a:noFill/>
          </a:ln>
          <a:effectLst/>
        </c:spPr>
      </c:pivotFmt>
      <c:pivotFmt>
        <c:idx val="30"/>
        <c:spPr>
          <a:solidFill>
            <a:schemeClr val="accent2"/>
          </a:solidFill>
          <a:ln>
            <a:noFill/>
          </a:ln>
          <a:effectLst/>
        </c:spPr>
      </c:pivotFmt>
      <c:pivotFmt>
        <c:idx val="31"/>
        <c:spPr>
          <a:solidFill>
            <a:schemeClr val="accent2"/>
          </a:solidFill>
          <a:ln>
            <a:noFill/>
          </a:ln>
          <a:effectLst/>
        </c:spPr>
      </c:pivotFmt>
      <c:pivotFmt>
        <c:idx val="32"/>
        <c:spPr>
          <a:solidFill>
            <a:schemeClr val="accent2"/>
          </a:solidFill>
          <a:ln>
            <a:noFill/>
          </a:ln>
          <a:effectLst/>
        </c:spPr>
      </c:pivotFmt>
      <c:pivotFmt>
        <c:idx val="33"/>
        <c:spPr>
          <a:solidFill>
            <a:schemeClr val="accent2"/>
          </a:solidFill>
          <a:ln>
            <a:noFill/>
          </a:ln>
          <a:effectLst/>
        </c:spPr>
      </c:pivotFmt>
      <c:pivotFmt>
        <c:idx val="34"/>
        <c:spPr>
          <a:solidFill>
            <a:schemeClr val="accent2"/>
          </a:solidFill>
          <a:ln>
            <a:noFill/>
          </a:ln>
          <a:effectLst/>
        </c:spPr>
      </c:pivotFmt>
      <c:pivotFmt>
        <c:idx val="35"/>
        <c:spPr>
          <a:solidFill>
            <a:schemeClr val="accent2"/>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chemeClr val="accent2"/>
          </a:solidFill>
          <a:ln>
            <a:noFill/>
          </a:ln>
          <a:effectLst/>
        </c:spPr>
        <c:dLbl>
          <c:idx val="0"/>
          <c:layout>
            <c:manualLayout>
              <c:x val="0.35826408125577103"/>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chemeClr val="accent2"/>
          </a:solidFill>
          <a:ln>
            <a:noFill/>
          </a:ln>
          <a:effectLst/>
        </c:spPr>
        <c:dLbl>
          <c:idx val="0"/>
          <c:layout>
            <c:manualLayout>
              <c:x val="0.27331486611265005"/>
              <c:y val="-0.14942528735632185"/>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chemeClr val="accent2"/>
          </a:solidFill>
          <a:ln>
            <a:noFill/>
          </a:ln>
          <a:effectLst/>
        </c:spPr>
        <c:dLbl>
          <c:idx val="0"/>
          <c:layout>
            <c:manualLayout>
              <c:x val="-0.1994459833795014"/>
              <c:y val="-0.2126436781609195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chemeClr val="accent2"/>
          </a:solidFill>
          <a:ln>
            <a:noFill/>
          </a:ln>
          <a:effectLst/>
        </c:spPr>
        <c:dLbl>
          <c:idx val="0"/>
          <c:layout>
            <c:manualLayout>
              <c:x val="0.28439519852262241"/>
              <c:y val="0.195402298850574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2"/>
          </a:solidFill>
          <a:ln>
            <a:noFill/>
          </a:ln>
          <a:effectLst/>
        </c:spPr>
        <c:dLbl>
          <c:idx val="0"/>
          <c:layout>
            <c:manualLayout>
              <c:x val="0.1994459833795014"/>
              <c:y val="-0.2298850574712644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chemeClr val="accent2"/>
          </a:solidFill>
          <a:ln>
            <a:noFill/>
          </a:ln>
          <a:effectLst/>
        </c:spPr>
        <c:dLbl>
          <c:idx val="0"/>
          <c:layout>
            <c:manualLayout>
              <c:x val="-0.29547553093259465"/>
              <c:y val="4.0229885057471208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13774"/>
                    <a:gd name="adj2" fmla="val 32720"/>
                  </a:avLst>
                </a:prstGeom>
                <a:noFill/>
                <a:ln>
                  <a:noFill/>
                </a:ln>
              </c15:spPr>
            </c:ext>
          </c:extLst>
        </c:dLbl>
      </c:pivotFmt>
      <c:pivotFmt>
        <c:idx val="42"/>
        <c:spPr>
          <a:solidFill>
            <a:schemeClr val="accent2"/>
          </a:solidFill>
          <a:ln>
            <a:noFill/>
          </a:ln>
          <a:effectLst/>
        </c:spPr>
        <c:dLbl>
          <c:idx val="0"/>
          <c:layout>
            <c:manualLayout>
              <c:x val="-0.25115420129270544"/>
              <c:y val="0.1436781609195402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149156"/>
                    <a:gd name="adj2" fmla="val 98160"/>
                  </a:avLst>
                </a:prstGeom>
                <a:noFill/>
                <a:ln>
                  <a:noFill/>
                </a:ln>
              </c15:spPr>
            </c:ext>
          </c:extLst>
        </c:dLbl>
      </c:pivotFmt>
      <c:pivotFmt>
        <c:idx val="43"/>
        <c:spPr>
          <a:solidFill>
            <a:schemeClr val="accent2"/>
          </a:solidFill>
          <a:ln>
            <a:noFill/>
          </a:ln>
          <a:effectLst/>
        </c:spPr>
        <c:dLbl>
          <c:idx val="0"/>
          <c:layout>
            <c:manualLayout>
              <c:x val="-0.11819021237303785"/>
              <c:y val="0.2528735632183908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chemeClr val="accent2"/>
          </a:solidFill>
          <a:ln>
            <a:noFill/>
          </a:ln>
          <a:effectLst/>
        </c:spPr>
        <c:dLbl>
          <c:idx val="0"/>
          <c:layout>
            <c:manualLayout>
              <c:x val="0.15512465373961218"/>
              <c:y val="-0.2241379310344827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5"/>
        <c:spPr>
          <a:solidFill>
            <a:schemeClr val="accent2"/>
          </a:solidFill>
          <a:ln>
            <a:noFill/>
          </a:ln>
          <a:effectLst/>
        </c:spPr>
        <c:dLbl>
          <c:idx val="0"/>
          <c:layout>
            <c:manualLayout>
              <c:x val="-0.30286241920590956"/>
              <c:y val="-5.172413793103448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0041049577944035"/>
          <c:y val="0.25969202347560633"/>
          <c:w val="0.3991787176187464"/>
          <c:h val="0.6184700303020062"/>
        </c:manualLayout>
      </c:layout>
      <c:doughnutChart>
        <c:varyColors val="1"/>
        <c:ser>
          <c:idx val="0"/>
          <c:order val="0"/>
          <c:tx>
            <c:strRef>
              <c:f>Sheet6!$B$3</c:f>
              <c:strCache>
                <c:ptCount val="1"/>
                <c:pt idx="0">
                  <c:v>Total</c:v>
                </c:pt>
              </c:strCache>
            </c:strRef>
          </c:tx>
          <c:dPt>
            <c:idx val="0"/>
            <c:bubble3D val="0"/>
            <c:spPr>
              <a:solidFill>
                <a:schemeClr val="accent2">
                  <a:shade val="42000"/>
                </a:schemeClr>
              </a:solidFill>
              <a:ln>
                <a:noFill/>
              </a:ln>
              <a:effectLst/>
            </c:spPr>
            <c:extLst>
              <c:ext xmlns:c16="http://schemas.microsoft.com/office/drawing/2014/chart" uri="{C3380CC4-5D6E-409C-BE32-E72D297353CC}">
                <c16:uniqueId val="{00000001-EA6A-48BB-AE28-3A2D156FA020}"/>
              </c:ext>
            </c:extLst>
          </c:dPt>
          <c:dPt>
            <c:idx val="1"/>
            <c:bubble3D val="0"/>
            <c:spPr>
              <a:solidFill>
                <a:schemeClr val="accent2">
                  <a:shade val="55000"/>
                </a:schemeClr>
              </a:solidFill>
              <a:ln>
                <a:noFill/>
              </a:ln>
              <a:effectLst/>
            </c:spPr>
            <c:extLst>
              <c:ext xmlns:c16="http://schemas.microsoft.com/office/drawing/2014/chart" uri="{C3380CC4-5D6E-409C-BE32-E72D297353CC}">
                <c16:uniqueId val="{00000003-EA6A-48BB-AE28-3A2D156FA020}"/>
              </c:ext>
            </c:extLst>
          </c:dPt>
          <c:dPt>
            <c:idx val="2"/>
            <c:bubble3D val="0"/>
            <c:spPr>
              <a:solidFill>
                <a:schemeClr val="accent2">
                  <a:shade val="68000"/>
                </a:schemeClr>
              </a:solidFill>
              <a:ln>
                <a:noFill/>
              </a:ln>
              <a:effectLst/>
            </c:spPr>
            <c:extLst>
              <c:ext xmlns:c16="http://schemas.microsoft.com/office/drawing/2014/chart" uri="{C3380CC4-5D6E-409C-BE32-E72D297353CC}">
                <c16:uniqueId val="{00000005-EA6A-48BB-AE28-3A2D156FA020}"/>
              </c:ext>
            </c:extLst>
          </c:dPt>
          <c:dPt>
            <c:idx val="3"/>
            <c:bubble3D val="0"/>
            <c:spPr>
              <a:solidFill>
                <a:schemeClr val="accent2">
                  <a:shade val="80000"/>
                </a:schemeClr>
              </a:solidFill>
              <a:ln>
                <a:noFill/>
              </a:ln>
              <a:effectLst/>
            </c:spPr>
            <c:extLst>
              <c:ext xmlns:c16="http://schemas.microsoft.com/office/drawing/2014/chart" uri="{C3380CC4-5D6E-409C-BE32-E72D297353CC}">
                <c16:uniqueId val="{00000007-EA6A-48BB-AE28-3A2D156FA020}"/>
              </c:ext>
            </c:extLst>
          </c:dPt>
          <c:dPt>
            <c:idx val="4"/>
            <c:bubble3D val="0"/>
            <c:spPr>
              <a:solidFill>
                <a:schemeClr val="accent2">
                  <a:shade val="93000"/>
                </a:schemeClr>
              </a:solidFill>
              <a:ln>
                <a:noFill/>
              </a:ln>
              <a:effectLst/>
            </c:spPr>
            <c:extLst>
              <c:ext xmlns:c16="http://schemas.microsoft.com/office/drawing/2014/chart" uri="{C3380CC4-5D6E-409C-BE32-E72D297353CC}">
                <c16:uniqueId val="{00000009-EA6A-48BB-AE28-3A2D156FA020}"/>
              </c:ext>
            </c:extLst>
          </c:dPt>
          <c:dPt>
            <c:idx val="5"/>
            <c:bubble3D val="0"/>
            <c:spPr>
              <a:solidFill>
                <a:schemeClr val="accent2">
                  <a:tint val="94000"/>
                </a:schemeClr>
              </a:solidFill>
              <a:ln>
                <a:noFill/>
              </a:ln>
              <a:effectLst/>
            </c:spPr>
            <c:extLst>
              <c:ext xmlns:c16="http://schemas.microsoft.com/office/drawing/2014/chart" uri="{C3380CC4-5D6E-409C-BE32-E72D297353CC}">
                <c16:uniqueId val="{0000000B-EA6A-48BB-AE28-3A2D156FA020}"/>
              </c:ext>
            </c:extLst>
          </c:dPt>
          <c:dPt>
            <c:idx val="6"/>
            <c:bubble3D val="0"/>
            <c:spPr>
              <a:solidFill>
                <a:schemeClr val="accent2">
                  <a:tint val="81000"/>
                </a:schemeClr>
              </a:solidFill>
              <a:ln>
                <a:noFill/>
              </a:ln>
              <a:effectLst/>
            </c:spPr>
            <c:extLst>
              <c:ext xmlns:c16="http://schemas.microsoft.com/office/drawing/2014/chart" uri="{C3380CC4-5D6E-409C-BE32-E72D297353CC}">
                <c16:uniqueId val="{0000000D-EA6A-48BB-AE28-3A2D156FA020}"/>
              </c:ext>
            </c:extLst>
          </c:dPt>
          <c:dPt>
            <c:idx val="7"/>
            <c:bubble3D val="0"/>
            <c:spPr>
              <a:solidFill>
                <a:schemeClr val="accent2">
                  <a:tint val="69000"/>
                </a:schemeClr>
              </a:solidFill>
              <a:ln>
                <a:noFill/>
              </a:ln>
              <a:effectLst/>
            </c:spPr>
            <c:extLst>
              <c:ext xmlns:c16="http://schemas.microsoft.com/office/drawing/2014/chart" uri="{C3380CC4-5D6E-409C-BE32-E72D297353CC}">
                <c16:uniqueId val="{0000000F-EA6A-48BB-AE28-3A2D156FA020}"/>
              </c:ext>
            </c:extLst>
          </c:dPt>
          <c:dPt>
            <c:idx val="8"/>
            <c:bubble3D val="0"/>
            <c:spPr>
              <a:solidFill>
                <a:schemeClr val="accent2">
                  <a:tint val="56000"/>
                </a:schemeClr>
              </a:solidFill>
              <a:ln>
                <a:noFill/>
              </a:ln>
              <a:effectLst/>
            </c:spPr>
            <c:extLst>
              <c:ext xmlns:c16="http://schemas.microsoft.com/office/drawing/2014/chart" uri="{C3380CC4-5D6E-409C-BE32-E72D297353CC}">
                <c16:uniqueId val="{00000011-EA6A-48BB-AE28-3A2D156FA020}"/>
              </c:ext>
            </c:extLst>
          </c:dPt>
          <c:dPt>
            <c:idx val="9"/>
            <c:bubble3D val="0"/>
            <c:spPr>
              <a:solidFill>
                <a:schemeClr val="accent2">
                  <a:tint val="43000"/>
                </a:schemeClr>
              </a:solidFill>
              <a:ln>
                <a:noFill/>
              </a:ln>
              <a:effectLst/>
            </c:spPr>
            <c:extLst>
              <c:ext xmlns:c16="http://schemas.microsoft.com/office/drawing/2014/chart" uri="{C3380CC4-5D6E-409C-BE32-E72D297353CC}">
                <c16:uniqueId val="{00000013-EA6A-48BB-AE28-3A2D156FA020}"/>
              </c:ext>
            </c:extLst>
          </c:dPt>
          <c:dLbls>
            <c:dLbl>
              <c:idx val="0"/>
              <c:layout>
                <c:manualLayout>
                  <c:x val="0.15512465373961218"/>
                  <c:y val="-0.2241379310344827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A6A-48BB-AE28-3A2D156FA020}"/>
                </c:ext>
              </c:extLst>
            </c:dLbl>
            <c:dLbl>
              <c:idx val="1"/>
              <c:layout>
                <c:manualLayout>
                  <c:x val="0.1994459833795014"/>
                  <c:y val="-0.2298850574712644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A6A-48BB-AE28-3A2D156FA020}"/>
                </c:ext>
              </c:extLst>
            </c:dLbl>
            <c:dLbl>
              <c:idx val="2"/>
              <c:layout>
                <c:manualLayout>
                  <c:x val="0.27331486611265005"/>
                  <c:y val="-0.1494252873563218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A6A-48BB-AE28-3A2D156FA020}"/>
                </c:ext>
              </c:extLst>
            </c:dLbl>
            <c:dLbl>
              <c:idx val="3"/>
              <c:layout>
                <c:manualLayout>
                  <c:x val="0.35826408125577103"/>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A6A-48BB-AE28-3A2D156FA020}"/>
                </c:ext>
              </c:extLst>
            </c:dLbl>
            <c:dLbl>
              <c:idx val="4"/>
              <c:layout>
                <c:manualLayout>
                  <c:x val="0.28439519852262241"/>
                  <c:y val="0.1954022988505748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A6A-48BB-AE28-3A2D156FA020}"/>
                </c:ext>
              </c:extLst>
            </c:dLbl>
            <c:dLbl>
              <c:idx val="5"/>
              <c:layout>
                <c:manualLayout>
                  <c:x val="-0.11819021237303785"/>
                  <c:y val="0.252873563218390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EA6A-48BB-AE28-3A2D156FA020}"/>
                </c:ext>
              </c:extLst>
            </c:dLbl>
            <c:dLbl>
              <c:idx val="6"/>
              <c:layout>
                <c:manualLayout>
                  <c:x val="-0.25115420129270544"/>
                  <c:y val="0.1436781609195402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EA6A-48BB-AE28-3A2D156FA020}"/>
                </c:ext>
              </c:extLst>
            </c:dLbl>
            <c:dLbl>
              <c:idx val="7"/>
              <c:layout>
                <c:manualLayout>
                  <c:x val="-0.29547553093259465"/>
                  <c:y val="4.0229885057471208E-2"/>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313774"/>
                        <a:gd name="adj2" fmla="val 32720"/>
                      </a:avLst>
                    </a:prstGeom>
                    <a:noFill/>
                    <a:ln>
                      <a:noFill/>
                    </a:ln>
                  </c15:spPr>
                </c:ext>
                <c:ext xmlns:c16="http://schemas.microsoft.com/office/drawing/2014/chart" uri="{C3380CC4-5D6E-409C-BE32-E72D297353CC}">
                  <c16:uniqueId val="{0000000F-EA6A-48BB-AE28-3A2D156FA020}"/>
                </c:ext>
              </c:extLst>
            </c:dLbl>
            <c:dLbl>
              <c:idx val="8"/>
              <c:layout>
                <c:manualLayout>
                  <c:x val="-0.30286241920590956"/>
                  <c:y val="-5.172413793103448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EA6A-48BB-AE28-3A2D156FA020}"/>
                </c:ext>
              </c:extLst>
            </c:dLbl>
            <c:dLbl>
              <c:idx val="9"/>
              <c:layout>
                <c:manualLayout>
                  <c:x val="-0.1994459833795014"/>
                  <c:y val="-0.2126436781609195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3-EA6A-48BB-AE28-3A2D156FA02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Sheet6!$A$4:$A$14</c:f>
              <c:strCache>
                <c:ptCount val="10"/>
                <c:pt idx="0">
                  <c:v>Infection</c:v>
                </c:pt>
                <c:pt idx="1">
                  <c:v>Diabetes</c:v>
                </c:pt>
                <c:pt idx="2">
                  <c:v>Allergy</c:v>
                </c:pt>
                <c:pt idx="3">
                  <c:v>Acidity</c:v>
                </c:pt>
                <c:pt idx="4">
                  <c:v>Cholesterol</c:v>
                </c:pt>
                <c:pt idx="5">
                  <c:v>Heart Disease</c:v>
                </c:pt>
                <c:pt idx="6">
                  <c:v>Headache</c:v>
                </c:pt>
                <c:pt idx="7">
                  <c:v>Fever</c:v>
                </c:pt>
                <c:pt idx="8">
                  <c:v>Malaria</c:v>
                </c:pt>
                <c:pt idx="9">
                  <c:v>Arthritis</c:v>
                </c:pt>
              </c:strCache>
            </c:strRef>
          </c:cat>
          <c:val>
            <c:numRef>
              <c:f>Sheet6!$B$4:$B$14</c:f>
              <c:numCache>
                <c:formatCode>General</c:formatCode>
                <c:ptCount val="10"/>
                <c:pt idx="0">
                  <c:v>20</c:v>
                </c:pt>
                <c:pt idx="1">
                  <c:v>14</c:v>
                </c:pt>
                <c:pt idx="2">
                  <c:v>13</c:v>
                </c:pt>
                <c:pt idx="3">
                  <c:v>13</c:v>
                </c:pt>
                <c:pt idx="4">
                  <c:v>7</c:v>
                </c:pt>
                <c:pt idx="5">
                  <c:v>7</c:v>
                </c:pt>
                <c:pt idx="6">
                  <c:v>7</c:v>
                </c:pt>
                <c:pt idx="7">
                  <c:v>7</c:v>
                </c:pt>
                <c:pt idx="8">
                  <c:v>6</c:v>
                </c:pt>
                <c:pt idx="9">
                  <c:v>6</c:v>
                </c:pt>
              </c:numCache>
            </c:numRef>
          </c:val>
          <c:extLst>
            <c:ext xmlns:c16="http://schemas.microsoft.com/office/drawing/2014/chart" uri="{C3380CC4-5D6E-409C-BE32-E72D297353CC}">
              <c16:uniqueId val="{00000014-EA6A-48BB-AE28-3A2D156FA02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[data.csv.xlsx]Top 5 profitable medicines!PivotTable7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Profitable Medicines</a:t>
            </a:r>
            <a:endParaRPr lang="en-US"/>
          </a:p>
        </c:rich>
      </c:tx>
      <c:layout>
        <c:manualLayout>
          <c:xMode val="edge"/>
          <c:yMode val="edge"/>
          <c:x val="0.1479599592637671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124228950876406"/>
          <c:y val="0.25197101558477442"/>
          <c:w val="0.49310050754696672"/>
          <c:h val="0.59041994750656168"/>
        </c:manualLayout>
      </c:layout>
      <c:barChart>
        <c:barDir val="bar"/>
        <c:grouping val="clustered"/>
        <c:varyColors val="0"/>
        <c:ser>
          <c:idx val="0"/>
          <c:order val="0"/>
          <c:tx>
            <c:strRef>
              <c:f>'Top 5 profitable medicines'!$B$3</c:f>
              <c:strCache>
                <c:ptCount val="1"/>
                <c:pt idx="0">
                  <c:v>Total</c:v>
                </c:pt>
              </c:strCache>
            </c:strRef>
          </c:tx>
          <c:spPr>
            <a:solidFill>
              <a:schemeClr val="accent1"/>
            </a:solidFill>
            <a:ln>
              <a:noFill/>
            </a:ln>
            <a:effectLst/>
          </c:spPr>
          <c:invertIfNegative val="0"/>
          <c:cat>
            <c:strRef>
              <c:f>'Top 5 profitable medicines'!$A$4:$A$8</c:f>
              <c:strCache>
                <c:ptCount val="5"/>
                <c:pt idx="0">
                  <c:v>Metformin</c:v>
                </c:pt>
                <c:pt idx="1">
                  <c:v>Aspirin</c:v>
                </c:pt>
                <c:pt idx="2">
                  <c:v>Hydroxychloroquine</c:v>
                </c:pt>
                <c:pt idx="3">
                  <c:v>Atorvastatin</c:v>
                </c:pt>
                <c:pt idx="4">
                  <c:v>Insulin</c:v>
                </c:pt>
              </c:strCache>
            </c:strRef>
          </c:cat>
          <c:val>
            <c:numRef>
              <c:f>'Top 5 profitable medicines'!$B$4:$B$8</c:f>
              <c:numCache>
                <c:formatCode>0</c:formatCode>
                <c:ptCount val="5"/>
                <c:pt idx="0">
                  <c:v>350</c:v>
                </c:pt>
                <c:pt idx="1">
                  <c:v>350</c:v>
                </c:pt>
                <c:pt idx="2">
                  <c:v>360</c:v>
                </c:pt>
                <c:pt idx="3">
                  <c:v>490</c:v>
                </c:pt>
                <c:pt idx="4">
                  <c:v>560</c:v>
                </c:pt>
              </c:numCache>
            </c:numRef>
          </c:val>
          <c:extLst>
            <c:ext xmlns:c16="http://schemas.microsoft.com/office/drawing/2014/chart" uri="{C3380CC4-5D6E-409C-BE32-E72D297353CC}">
              <c16:uniqueId val="{00000000-580F-4A9F-B631-A25AC622D516}"/>
            </c:ext>
          </c:extLst>
        </c:ser>
        <c:dLbls>
          <c:showLegendKey val="0"/>
          <c:showVal val="0"/>
          <c:showCatName val="0"/>
          <c:showSerName val="0"/>
          <c:showPercent val="0"/>
          <c:showBubbleSize val="0"/>
        </c:dLbls>
        <c:gapWidth val="182"/>
        <c:axId val="1074986911"/>
        <c:axId val="1074973471"/>
      </c:barChart>
      <c:catAx>
        <c:axId val="107498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73471"/>
        <c:crosses val="autoZero"/>
        <c:auto val="1"/>
        <c:lblAlgn val="ctr"/>
        <c:lblOffset val="100"/>
        <c:noMultiLvlLbl val="0"/>
      </c:catAx>
      <c:valAx>
        <c:axId val="1074973471"/>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8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[data.csv.xlsx]Sheet10!PivotTable8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Profitable cities</a:t>
            </a:r>
            <a:endParaRPr lang="en-US"/>
          </a:p>
        </c:rich>
      </c:tx>
      <c:layout>
        <c:manualLayout>
          <c:xMode val="edge"/>
          <c:yMode val="edge"/>
          <c:x val="0.20264591439688717"/>
          <c:y val="5.24017227009030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711715023948844"/>
          <c:y val="0.20520046385882801"/>
          <c:w val="0.47032772654390964"/>
          <c:h val="0.6668976957786581"/>
        </c:manualLayout>
      </c:layout>
      <c:barChart>
        <c:barDir val="bar"/>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Sheet10!$A$4:$A$9</c:f>
              <c:strCache>
                <c:ptCount val="5"/>
                <c:pt idx="0">
                  <c:v>Mumbai</c:v>
                </c:pt>
                <c:pt idx="1">
                  <c:v>Ahmedabad</c:v>
                </c:pt>
                <c:pt idx="2">
                  <c:v>Chennai</c:v>
                </c:pt>
                <c:pt idx="3">
                  <c:v>Hyderabad</c:v>
                </c:pt>
                <c:pt idx="4">
                  <c:v>Bengaluru</c:v>
                </c:pt>
              </c:strCache>
            </c:strRef>
          </c:cat>
          <c:val>
            <c:numRef>
              <c:f>Sheet10!$B$4:$B$9</c:f>
              <c:numCache>
                <c:formatCode>0</c:formatCode>
                <c:ptCount val="5"/>
                <c:pt idx="0">
                  <c:v>360</c:v>
                </c:pt>
                <c:pt idx="1">
                  <c:v>480</c:v>
                </c:pt>
                <c:pt idx="2">
                  <c:v>510</c:v>
                </c:pt>
                <c:pt idx="3">
                  <c:v>560</c:v>
                </c:pt>
                <c:pt idx="4">
                  <c:v>650</c:v>
                </c:pt>
              </c:numCache>
            </c:numRef>
          </c:val>
          <c:extLst>
            <c:ext xmlns:c16="http://schemas.microsoft.com/office/drawing/2014/chart" uri="{C3380CC4-5D6E-409C-BE32-E72D297353CC}">
              <c16:uniqueId val="{00000000-2D67-4D91-A951-B1FE2F9FEFC3}"/>
            </c:ext>
          </c:extLst>
        </c:ser>
        <c:dLbls>
          <c:showLegendKey val="0"/>
          <c:showVal val="0"/>
          <c:showCatName val="0"/>
          <c:showSerName val="0"/>
          <c:showPercent val="0"/>
          <c:showBubbleSize val="0"/>
        </c:dLbls>
        <c:gapWidth val="182"/>
        <c:axId val="1086592607"/>
        <c:axId val="1086603647"/>
      </c:barChart>
      <c:catAx>
        <c:axId val="108659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603647"/>
        <c:crosses val="autoZero"/>
        <c:auto val="1"/>
        <c:lblAlgn val="ctr"/>
        <c:lblOffset val="100"/>
        <c:noMultiLvlLbl val="0"/>
      </c:catAx>
      <c:valAx>
        <c:axId val="10866036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59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[data.csv.xlsx]age group wise disease!PivotTable1</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Gender</a:t>
            </a:r>
          </a:p>
        </c:rich>
      </c:tx>
      <c:layout>
        <c:manualLayout>
          <c:xMode val="edge"/>
          <c:yMode val="edge"/>
          <c:x val="0.30956780402449696"/>
          <c:y val="6.289308176100628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wise disease'!$B$3:$B$4</c:f>
              <c:strCache>
                <c:ptCount val="1"/>
                <c:pt idx="0">
                  <c:v>F</c:v>
                </c:pt>
              </c:strCache>
            </c:strRef>
          </c:tx>
          <c:spPr>
            <a:solidFill>
              <a:schemeClr val="accent1"/>
            </a:solidFill>
            <a:ln>
              <a:noFill/>
            </a:ln>
            <a:effectLst/>
          </c:spPr>
          <c:invertIfNegative val="0"/>
          <c:cat>
            <c:strRef>
              <c:f>'age group wise disease'!$A$5:$A$7</c:f>
              <c:strCache>
                <c:ptCount val="3"/>
                <c:pt idx="0">
                  <c:v>Adult</c:v>
                </c:pt>
                <c:pt idx="1">
                  <c:v>Senior</c:v>
                </c:pt>
                <c:pt idx="2">
                  <c:v>Teenager</c:v>
                </c:pt>
              </c:strCache>
            </c:strRef>
          </c:cat>
          <c:val>
            <c:numRef>
              <c:f>'age group wise disease'!$B$5:$B$7</c:f>
              <c:numCache>
                <c:formatCode>General</c:formatCode>
                <c:ptCount val="3"/>
                <c:pt idx="0">
                  <c:v>38</c:v>
                </c:pt>
                <c:pt idx="1">
                  <c:v>12</c:v>
                </c:pt>
                <c:pt idx="2">
                  <c:v>1</c:v>
                </c:pt>
              </c:numCache>
            </c:numRef>
          </c:val>
          <c:extLst>
            <c:ext xmlns:c16="http://schemas.microsoft.com/office/drawing/2014/chart" uri="{C3380CC4-5D6E-409C-BE32-E72D297353CC}">
              <c16:uniqueId val="{00000005-DAA4-40EA-B065-94113979FE0F}"/>
            </c:ext>
          </c:extLst>
        </c:ser>
        <c:ser>
          <c:idx val="1"/>
          <c:order val="1"/>
          <c:tx>
            <c:strRef>
              <c:f>'age group wise disease'!$C$3:$C$4</c:f>
              <c:strCache>
                <c:ptCount val="1"/>
                <c:pt idx="0">
                  <c:v>M</c:v>
                </c:pt>
              </c:strCache>
            </c:strRef>
          </c:tx>
          <c:spPr>
            <a:solidFill>
              <a:schemeClr val="accent2"/>
            </a:solidFill>
            <a:ln>
              <a:noFill/>
            </a:ln>
            <a:effectLst/>
          </c:spPr>
          <c:invertIfNegative val="0"/>
          <c:cat>
            <c:strRef>
              <c:f>'age group wise disease'!$A$5:$A$7</c:f>
              <c:strCache>
                <c:ptCount val="3"/>
                <c:pt idx="0">
                  <c:v>Adult</c:v>
                </c:pt>
                <c:pt idx="1">
                  <c:v>Senior</c:v>
                </c:pt>
                <c:pt idx="2">
                  <c:v>Teenager</c:v>
                </c:pt>
              </c:strCache>
            </c:strRef>
          </c:cat>
          <c:val>
            <c:numRef>
              <c:f>'age group wise disease'!$C$5:$C$7</c:f>
              <c:numCache>
                <c:formatCode>General</c:formatCode>
                <c:ptCount val="3"/>
                <c:pt idx="0">
                  <c:v>38</c:v>
                </c:pt>
                <c:pt idx="1">
                  <c:v>10</c:v>
                </c:pt>
                <c:pt idx="2">
                  <c:v>1</c:v>
                </c:pt>
              </c:numCache>
            </c:numRef>
          </c:val>
          <c:extLst>
            <c:ext xmlns:c16="http://schemas.microsoft.com/office/drawing/2014/chart" uri="{C3380CC4-5D6E-409C-BE32-E72D297353CC}">
              <c16:uniqueId val="{00000006-DAA4-40EA-B065-94113979FE0F}"/>
            </c:ext>
          </c:extLst>
        </c:ser>
        <c:dLbls>
          <c:showLegendKey val="0"/>
          <c:showVal val="0"/>
          <c:showCatName val="0"/>
          <c:showSerName val="0"/>
          <c:showPercent val="0"/>
          <c:showBubbleSize val="0"/>
        </c:dLbls>
        <c:gapWidth val="219"/>
        <c:overlap val="-27"/>
        <c:axId val="1529499456"/>
        <c:axId val="1529514816"/>
      </c:barChart>
      <c:catAx>
        <c:axId val="15294994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514816"/>
        <c:crosses val="autoZero"/>
        <c:auto val="1"/>
        <c:lblAlgn val="ctr"/>
        <c:lblOffset val="100"/>
        <c:noMultiLvlLbl val="0"/>
      </c:catAx>
      <c:valAx>
        <c:axId val="152951481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52949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[data.csv.xlsx]statewise profit!PivotTable3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'statewise profit'!$B$19</c:f>
              <c:strCache>
                <c:ptCount val="1"/>
                <c:pt idx="0">
                  <c:v>Total</c:v>
                </c:pt>
              </c:strCache>
            </c:strRef>
          </c:tx>
          <c:spPr>
            <a:solidFill>
              <a:schemeClr val="accent1"/>
            </a:solidFill>
            <a:ln>
              <a:noFill/>
            </a:ln>
            <a:effectLst/>
          </c:spPr>
          <c:invertIfNegative val="0"/>
          <c:cat>
            <c:strRef>
              <c:f>'statewise profit'!$A$20:$A$32</c:f>
              <c:strCache>
                <c:ptCount val="12"/>
                <c:pt idx="0">
                  <c:v>Bihar</c:v>
                </c:pt>
                <c:pt idx="1">
                  <c:v>Delhi</c:v>
                </c:pt>
                <c:pt idx="2">
                  <c:v>Gujarat</c:v>
                </c:pt>
                <c:pt idx="3">
                  <c:v>Karnataka</c:v>
                </c:pt>
                <c:pt idx="4">
                  <c:v>Kerala</c:v>
                </c:pt>
                <c:pt idx="5">
                  <c:v>Maharashtra</c:v>
                </c:pt>
                <c:pt idx="6">
                  <c:v>Punjab</c:v>
                </c:pt>
                <c:pt idx="7">
                  <c:v>Rajasthan</c:v>
                </c:pt>
                <c:pt idx="8">
                  <c:v>Tamil Nadu</c:v>
                </c:pt>
                <c:pt idx="9">
                  <c:v>Telangana</c:v>
                </c:pt>
                <c:pt idx="10">
                  <c:v>Uttar Pradesh</c:v>
                </c:pt>
                <c:pt idx="11">
                  <c:v>West Bengal</c:v>
                </c:pt>
              </c:strCache>
            </c:strRef>
          </c:cat>
          <c:val>
            <c:numRef>
              <c:f>'statewise profit'!$B$20:$B$32</c:f>
              <c:numCache>
                <c:formatCode>General</c:formatCode>
                <c:ptCount val="12"/>
                <c:pt idx="0">
                  <c:v>3</c:v>
                </c:pt>
                <c:pt idx="1">
                  <c:v>7</c:v>
                </c:pt>
                <c:pt idx="2">
                  <c:v>12</c:v>
                </c:pt>
                <c:pt idx="3">
                  <c:v>13</c:v>
                </c:pt>
                <c:pt idx="4">
                  <c:v>4</c:v>
                </c:pt>
                <c:pt idx="5">
                  <c:v>21</c:v>
                </c:pt>
                <c:pt idx="6">
                  <c:v>4</c:v>
                </c:pt>
                <c:pt idx="7">
                  <c:v>3</c:v>
                </c:pt>
                <c:pt idx="8">
                  <c:v>9</c:v>
                </c:pt>
                <c:pt idx="9">
                  <c:v>7</c:v>
                </c:pt>
                <c:pt idx="10">
                  <c:v>6</c:v>
                </c:pt>
                <c:pt idx="11">
                  <c:v>11</c:v>
                </c:pt>
              </c:numCache>
            </c:numRef>
          </c:val>
          <c:extLst>
            <c:ext xmlns:c16="http://schemas.microsoft.com/office/drawing/2014/chart" uri="{C3380CC4-5D6E-409C-BE32-E72D297353CC}">
              <c16:uniqueId val="{00000000-A1AA-49DF-8FB7-9CFF256D83A5}"/>
            </c:ext>
          </c:extLst>
        </c:ser>
        <c:dLbls>
          <c:showLegendKey val="0"/>
          <c:showVal val="0"/>
          <c:showCatName val="0"/>
          <c:showSerName val="0"/>
          <c:showPercent val="0"/>
          <c:showBubbleSize val="0"/>
        </c:dLbls>
        <c:gapWidth val="219"/>
        <c:overlap val="-27"/>
        <c:axId val="434281471"/>
        <c:axId val="434301631"/>
      </c:barChart>
      <c:catAx>
        <c:axId val="434281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301631"/>
        <c:crosses val="autoZero"/>
        <c:auto val="1"/>
        <c:lblAlgn val="ctr"/>
        <c:lblOffset val="100"/>
        <c:noMultiLvlLbl val="0"/>
      </c:catAx>
      <c:valAx>
        <c:axId val="434301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28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[data.csv.xlsx]Sheet6!PivotTable6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Sheet6!$B$3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Pt>
            <c:idx val="6"/>
            <c:bubble3D val="0"/>
            <c:spPr>
              <a:solidFill>
                <a:schemeClr val="accent1">
                  <a:lumMod val="60000"/>
                </a:schemeClr>
              </a:solidFill>
              <a:ln>
                <a:noFill/>
              </a:ln>
              <a:effectLst/>
            </c:spPr>
          </c:dPt>
          <c:dPt>
            <c:idx val="7"/>
            <c:bubble3D val="0"/>
            <c:spPr>
              <a:solidFill>
                <a:schemeClr val="accent2">
                  <a:lumMod val="60000"/>
                </a:schemeClr>
              </a:solidFill>
              <a:ln>
                <a:noFill/>
              </a:ln>
              <a:effectLst/>
            </c:spPr>
          </c:dPt>
          <c:dPt>
            <c:idx val="8"/>
            <c:bubble3D val="0"/>
            <c:spPr>
              <a:solidFill>
                <a:schemeClr val="accent3">
                  <a:lumMod val="60000"/>
                </a:schemeClr>
              </a:solidFill>
              <a:ln>
                <a:noFill/>
              </a:ln>
              <a:effectLst/>
            </c:spPr>
          </c:dPt>
          <c:dPt>
            <c:idx val="9"/>
            <c:bubble3D val="0"/>
            <c:spPr>
              <a:solidFill>
                <a:schemeClr val="accent4">
                  <a:lumMod val="60000"/>
                </a:schemeClr>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Sheet6!$A$4:$A$14</c:f>
              <c:strCache>
                <c:ptCount val="10"/>
                <c:pt idx="0">
                  <c:v>Infection</c:v>
                </c:pt>
                <c:pt idx="1">
                  <c:v>Diabetes</c:v>
                </c:pt>
                <c:pt idx="2">
                  <c:v>Allergy</c:v>
                </c:pt>
                <c:pt idx="3">
                  <c:v>Acidity</c:v>
                </c:pt>
                <c:pt idx="4">
                  <c:v>Cholesterol</c:v>
                </c:pt>
                <c:pt idx="5">
                  <c:v>Heart Disease</c:v>
                </c:pt>
                <c:pt idx="6">
                  <c:v>Headache</c:v>
                </c:pt>
                <c:pt idx="7">
                  <c:v>Fever</c:v>
                </c:pt>
                <c:pt idx="8">
                  <c:v>Malaria</c:v>
                </c:pt>
                <c:pt idx="9">
                  <c:v>Arthritis</c:v>
                </c:pt>
              </c:strCache>
            </c:strRef>
          </c:cat>
          <c:val>
            <c:numRef>
              <c:f>Sheet6!$B$4:$B$14</c:f>
              <c:numCache>
                <c:formatCode>General</c:formatCode>
                <c:ptCount val="10"/>
                <c:pt idx="0">
                  <c:v>20</c:v>
                </c:pt>
                <c:pt idx="1">
                  <c:v>14</c:v>
                </c:pt>
                <c:pt idx="2">
                  <c:v>13</c:v>
                </c:pt>
                <c:pt idx="3">
                  <c:v>13</c:v>
                </c:pt>
                <c:pt idx="4">
                  <c:v>7</c:v>
                </c:pt>
                <c:pt idx="5">
                  <c:v>7</c:v>
                </c:pt>
                <c:pt idx="6">
                  <c:v>7</c:v>
                </c:pt>
                <c:pt idx="7">
                  <c:v>7</c:v>
                </c:pt>
                <c:pt idx="8">
                  <c:v>6</c:v>
                </c:pt>
                <c:pt idx="9">
                  <c:v>6</c:v>
                </c:pt>
              </c:numCache>
            </c:numRef>
          </c:val>
          <c:extLst>
            <c:ext xmlns:c16="http://schemas.microsoft.com/office/drawing/2014/chart" uri="{C3380CC4-5D6E-409C-BE32-E72D297353CC}">
              <c16:uniqueId val="{00000000-C1A4-48F3-A777-1D3F4A15EAF1}"/>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[data.csv.xlsx]age group wise disease!PivotTable1</c:name>
    <c:fmtId val="2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Age vs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'age group wise disease'!$B$3:$B$4</c:f>
              <c:strCache>
                <c:ptCount val="1"/>
                <c:pt idx="0">
                  <c:v>F</c:v>
                </c:pt>
              </c:strCache>
            </c:strRef>
          </c:tx>
          <c:spPr>
            <a:solidFill>
              <a:schemeClr val="accent1"/>
            </a:solidFill>
            <a:ln>
              <a:noFill/>
            </a:ln>
            <a:effectLst/>
          </c:spPr>
          <c:invertIfNegative val="0"/>
          <c:cat>
            <c:strRef>
              <c:f>'age group wise disease'!$A$5:$A$7</c:f>
              <c:strCache>
                <c:ptCount val="3"/>
                <c:pt idx="0">
                  <c:v>Adult</c:v>
                </c:pt>
                <c:pt idx="1">
                  <c:v>Senior</c:v>
                </c:pt>
                <c:pt idx="2">
                  <c:v>Teenager</c:v>
                </c:pt>
              </c:strCache>
            </c:strRef>
          </c:cat>
          <c:val>
            <c:numRef>
              <c:f>'age group wise disease'!$B$5:$B$7</c:f>
              <c:numCache>
                <c:formatCode>General</c:formatCode>
                <c:ptCount val="3"/>
                <c:pt idx="0">
                  <c:v>38</c:v>
                </c:pt>
                <c:pt idx="1">
                  <c:v>12</c:v>
                </c:pt>
                <c:pt idx="2">
                  <c:v>1</c:v>
                </c:pt>
              </c:numCache>
            </c:numRef>
          </c:val>
          <c:extLst>
            <c:ext xmlns:c16="http://schemas.microsoft.com/office/drawing/2014/chart" uri="{C3380CC4-5D6E-409C-BE32-E72D297353CC}">
              <c16:uniqueId val="{00000015-3500-46E8-948A-A5F6F1CDE589}"/>
            </c:ext>
          </c:extLst>
        </c:ser>
        <c:ser>
          <c:idx val="1"/>
          <c:order val="1"/>
          <c:tx>
            <c:strRef>
              <c:f>'age group wise disease'!$C$3:$C$4</c:f>
              <c:strCache>
                <c:ptCount val="1"/>
                <c:pt idx="0">
                  <c:v>M</c:v>
                </c:pt>
              </c:strCache>
            </c:strRef>
          </c:tx>
          <c:spPr>
            <a:solidFill>
              <a:schemeClr val="accent2"/>
            </a:solidFill>
            <a:ln>
              <a:noFill/>
            </a:ln>
            <a:effectLst/>
          </c:spPr>
          <c:invertIfNegative val="0"/>
          <c:cat>
            <c:strRef>
              <c:f>'age group wise disease'!$A$5:$A$7</c:f>
              <c:strCache>
                <c:ptCount val="3"/>
                <c:pt idx="0">
                  <c:v>Adult</c:v>
                </c:pt>
                <c:pt idx="1">
                  <c:v>Senior</c:v>
                </c:pt>
                <c:pt idx="2">
                  <c:v>Teenager</c:v>
                </c:pt>
              </c:strCache>
            </c:strRef>
          </c:cat>
          <c:val>
            <c:numRef>
              <c:f>'age group wise disease'!$C$5:$C$7</c:f>
              <c:numCache>
                <c:formatCode>General</c:formatCode>
                <c:ptCount val="3"/>
                <c:pt idx="0">
                  <c:v>38</c:v>
                </c:pt>
                <c:pt idx="1">
                  <c:v>10</c:v>
                </c:pt>
                <c:pt idx="2">
                  <c:v>1</c:v>
                </c:pt>
              </c:numCache>
            </c:numRef>
          </c:val>
          <c:extLst>
            <c:ext xmlns:c16="http://schemas.microsoft.com/office/drawing/2014/chart" uri="{C3380CC4-5D6E-409C-BE32-E72D297353CC}">
              <c16:uniqueId val="{00000016-3500-46E8-948A-A5F6F1CDE589}"/>
            </c:ext>
          </c:extLst>
        </c:ser>
        <c:dLbls>
          <c:showLegendKey val="0"/>
          <c:showVal val="0"/>
          <c:showCatName val="0"/>
          <c:showSerName val="0"/>
          <c:showPercent val="0"/>
          <c:showBubbleSize val="0"/>
        </c:dLbls>
        <c:gapWidth val="219"/>
        <c:overlap val="-27"/>
        <c:axId val="1529499456"/>
        <c:axId val="1529514816"/>
      </c:barChart>
      <c:catAx>
        <c:axId val="1529499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514816"/>
        <c:crosses val="autoZero"/>
        <c:auto val="1"/>
        <c:lblAlgn val="ctr"/>
        <c:lblOffset val="100"/>
        <c:noMultiLvlLbl val="0"/>
      </c:catAx>
      <c:valAx>
        <c:axId val="1529514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99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[data.csv.xlsx]monthaly cost and %profit!PivotTable4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Monthaly</a:t>
            </a:r>
            <a:r>
              <a:rPr lang="en-IN" baseline="0"/>
              <a:t> Total Cost vs Profit</a:t>
            </a:r>
            <a:endParaRPr lang="en-IN"/>
          </a:p>
        </c:rich>
      </c:tx>
      <c:layout>
        <c:manualLayout>
          <c:xMode val="edge"/>
          <c:yMode val="edge"/>
          <c:x val="0.30075678040244969"/>
          <c:y val="3.5555550025383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358705161854769E-2"/>
          <c:y val="0.17382713345743039"/>
          <c:w val="0.79289216972878385"/>
          <c:h val="0.56891555261350402"/>
        </c:manualLayout>
      </c:layout>
      <c:barChart>
        <c:barDir val="col"/>
        <c:grouping val="clustered"/>
        <c:varyColors val="0"/>
        <c:ser>
          <c:idx val="0"/>
          <c:order val="0"/>
          <c:tx>
            <c:strRef>
              <c:f>'monthaly cost and %profit'!$B$3</c:f>
              <c:strCache>
                <c:ptCount val="1"/>
                <c:pt idx="0">
                  <c:v>Sum of Total Cost</c:v>
                </c:pt>
              </c:strCache>
            </c:strRef>
          </c:tx>
          <c:spPr>
            <a:solidFill>
              <a:schemeClr val="accent1"/>
            </a:solidFill>
            <a:ln>
              <a:noFill/>
            </a:ln>
            <a:effectLst/>
          </c:spPr>
          <c:invertIfNegative val="0"/>
          <c:cat>
            <c:strRef>
              <c:f>'monthaly cost and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'monthaly cost and %profit'!$B$4:$B$16</c:f>
              <c:numCache>
                <c:formatCode>0</c:formatCode>
                <c:ptCount val="12"/>
                <c:pt idx="0">
                  <c:v>2145</c:v>
                </c:pt>
                <c:pt idx="1">
                  <c:v>2018</c:v>
                </c:pt>
                <c:pt idx="2">
                  <c:v>3282</c:v>
                </c:pt>
                <c:pt idx="3">
                  <c:v>1309</c:v>
                </c:pt>
                <c:pt idx="4">
                  <c:v>1970</c:v>
                </c:pt>
                <c:pt idx="5">
                  <c:v>2259</c:v>
                </c:pt>
                <c:pt idx="6">
                  <c:v>1984</c:v>
                </c:pt>
                <c:pt idx="7">
                  <c:v>1028</c:v>
                </c:pt>
                <c:pt idx="8">
                  <c:v>1290</c:v>
                </c:pt>
                <c:pt idx="9">
                  <c:v>3100</c:v>
                </c:pt>
                <c:pt idx="10">
                  <c:v>1419</c:v>
                </c:pt>
                <c:pt idx="11">
                  <c:v>1524</c:v>
                </c:pt>
              </c:numCache>
            </c:numRef>
          </c:val>
          <c:extLst>
            <c:ext xmlns:c16="http://schemas.microsoft.com/office/drawing/2014/chart" uri="{C3380CC4-5D6E-409C-BE32-E72D297353CC}">
              <c16:uniqueId val="{00000000-2635-4C8D-AE94-F22C75A453DF}"/>
            </c:ext>
          </c:extLst>
        </c:ser>
        <c:dLbls>
          <c:showLegendKey val="0"/>
          <c:showVal val="0"/>
          <c:showCatName val="0"/>
          <c:showSerName val="0"/>
          <c:showPercent val="0"/>
          <c:showBubbleSize val="0"/>
        </c:dLbls>
        <c:gapWidth val="219"/>
        <c:overlap val="-27"/>
        <c:axId val="1648489696"/>
        <c:axId val="1648489216"/>
      </c:barChart>
      <c:lineChart>
        <c:grouping val="standard"/>
        <c:varyColors val="0"/>
        <c:ser>
          <c:idx val="1"/>
          <c:order val="1"/>
          <c:tx>
            <c:strRef>
              <c:f>'monthaly cost and %profit'!$C$3</c:f>
              <c:strCache>
                <c:ptCount val="1"/>
                <c:pt idx="0">
                  <c:v>Sum of Profit</c:v>
                </c:pt>
              </c:strCache>
            </c:strRef>
          </c:tx>
          <c:spPr>
            <a:ln w="28575" cap="rnd">
              <a:solidFill>
                <a:schemeClr val="accent2"/>
              </a:solidFill>
              <a:round/>
            </a:ln>
            <a:effectLst/>
          </c:spPr>
          <c:marker>
            <c:symbol val="none"/>
          </c:marker>
          <c:cat>
            <c:strRef>
              <c:f>'monthaly cost and %profit'!$A$4:$A$16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'monthaly cost and %profit'!$C$4:$C$16</c:f>
              <c:numCache>
                <c:formatCode>0</c:formatCode>
                <c:ptCount val="12"/>
                <c:pt idx="0">
                  <c:v>365</c:v>
                </c:pt>
                <c:pt idx="1">
                  <c:v>388</c:v>
                </c:pt>
                <c:pt idx="2">
                  <c:v>591</c:v>
                </c:pt>
                <c:pt idx="3">
                  <c:v>238</c:v>
                </c:pt>
                <c:pt idx="4">
                  <c:v>358</c:v>
                </c:pt>
                <c:pt idx="5">
                  <c:v>414</c:v>
                </c:pt>
                <c:pt idx="6">
                  <c:v>360</c:v>
                </c:pt>
                <c:pt idx="7">
                  <c:v>195</c:v>
                </c:pt>
                <c:pt idx="8">
                  <c:v>245</c:v>
                </c:pt>
                <c:pt idx="9">
                  <c:v>545</c:v>
                </c:pt>
                <c:pt idx="10">
                  <c:v>245</c:v>
                </c:pt>
                <c:pt idx="11">
                  <c:v>278</c:v>
                </c:pt>
              </c:numCache>
            </c:numRef>
          </c:val>
          <c:smooth val="0"/>
          <c:extLst>
            <c:ext xmlns:c16="http://schemas.microsoft.com/office/drawing/2014/chart" uri="{C3380CC4-5D6E-409C-BE32-E72D297353CC}">
              <c16:uniqueId val="{00000001-2635-4C8D-AE94-F22C75A453DF}"/>
            </c:ext>
          </c:extLst>
        </c:ser>
        <c:dLbls>
          <c:showLegendKey val="0"/>
          <c:showVal val="0"/>
          <c:showCatName val="0"/>
          <c:showSerName val="0"/>
          <c:showPercent val="0"/>
          <c:showBubbleSize val="0"/>
        </c:dLbls>
        <c:marker val="1"/>
        <c:smooth val="0"/>
        <c:axId val="1498197328"/>
        <c:axId val="1498218928"/>
      </c:lineChart>
      <c:catAx>
        <c:axId val="164848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489216"/>
        <c:crosses val="autoZero"/>
        <c:auto val="1"/>
        <c:lblAlgn val="ctr"/>
        <c:lblOffset val="100"/>
        <c:noMultiLvlLbl val="0"/>
      </c:catAx>
      <c:valAx>
        <c:axId val="164848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489696"/>
        <c:crosses val="autoZero"/>
        <c:crossBetween val="between"/>
      </c:valAx>
      <c:valAx>
        <c:axId val="1498218928"/>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8197328"/>
        <c:crosses val="max"/>
        <c:crossBetween val="between"/>
      </c:valAx>
      <c:catAx>
        <c:axId val="1498197328"/>
        <c:scaling>
          <c:orientation val="minMax"/>
        </c:scaling>
        <c:delete val="1"/>
        <c:axPos val="b"/>
        <c:numFmt formatCode="General" sourceLinked="1"/>
        <c:majorTickMark val="out"/>
        <c:minorTickMark val="none"/>
        <c:tickLblPos val="nextTo"/>
        <c:crossAx val="1498218928"/>
        <c:auto val="1"/>
        <c:lblAlgn val="ctr"/>
        <c:lblOffset val="100"/>
        <c:noMultiLvlLbl val="0"/>
      </c:catAx>
      <c:spPr>
        <a:noFill/>
        <a:ln>
          <a:noFill/>
        </a:ln>
        <a:effectLst/>
      </c:spPr>
    </c:plotArea>
    <c:legend>
      <c:legendPos val="r"/>
      <c:layout>
        <c:manualLayout>
          <c:xMode val="edge"/>
          <c:yMode val="edge"/>
          <c:x val="0.3666095800524935"/>
          <c:y val="0.81259207736489514"/>
          <c:w val="0.57227930883639533"/>
          <c:h val="0.133334245811724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[data.csv.xlsx]comanywise profit!PivotTable6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of Comapny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43577629719362"/>
          <c:y val="0.17171296296296296"/>
          <c:w val="0.63743710882293558"/>
          <c:h val="0.77736111111111106"/>
        </c:manualLayout>
      </c:layout>
      <c:barChart>
        <c:barDir val="bar"/>
        <c:grouping val="clustered"/>
        <c:varyColors val="0"/>
        <c:ser>
          <c:idx val="0"/>
          <c:order val="0"/>
          <c:tx>
            <c:strRef>
              <c:f>'comanywise profit'!$B$3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'comanywise profit'!$A$4:$A$12</c:f>
              <c:strCache>
                <c:ptCount val="8"/>
                <c:pt idx="0">
                  <c:v>Antibiotics Plus</c:v>
                </c:pt>
                <c:pt idx="1">
                  <c:v>CardioSafe Pharma</c:v>
                </c:pt>
                <c:pt idx="2">
                  <c:v>MedLife Pharma</c:v>
                </c:pt>
                <c:pt idx="3">
                  <c:v>StomachCare Ltd</c:v>
                </c:pt>
                <c:pt idx="4">
                  <c:v>PainRelief Pharma</c:v>
                </c:pt>
                <c:pt idx="5">
                  <c:v>GlucoWell Corp</c:v>
                </c:pt>
                <c:pt idx="6">
                  <c:v>HealthCare Ltd</c:v>
                </c:pt>
                <c:pt idx="7">
                  <c:v>AllergyFree Inc</c:v>
                </c:pt>
              </c:strCache>
            </c:strRef>
          </c:cat>
          <c:val>
            <c:numRef>
              <c:f>'comanywise profit'!$B$4:$B$12</c:f>
              <c:numCache>
                <c:formatCode>0.00%</c:formatCode>
                <c:ptCount val="8"/>
                <c:pt idx="0">
                  <c:v>1.264979715769432</c:v>
                </c:pt>
                <c:pt idx="1">
                  <c:v>2.285909462764482</c:v>
                </c:pt>
                <c:pt idx="2">
                  <c:v>2.3575827485450933</c:v>
                </c:pt>
                <c:pt idx="3">
                  <c:v>2.4206656716519568</c:v>
                </c:pt>
                <c:pt idx="4">
                  <c:v>2.4695226211625418</c:v>
                </c:pt>
                <c:pt idx="5">
                  <c:v>2.5203716273337964</c:v>
                </c:pt>
                <c:pt idx="6">
                  <c:v>2.6323029089947507</c:v>
                </c:pt>
                <c:pt idx="7">
                  <c:v>2.9731075240008362</c:v>
                </c:pt>
              </c:numCache>
            </c:numRef>
          </c:val>
          <c:extLst>
            <c:ext xmlns:c16="http://schemas.microsoft.com/office/drawing/2014/chart" uri="{C3380CC4-5D6E-409C-BE32-E72D297353CC}">
              <c16:uniqueId val="{00000000-17F2-4626-937E-9EF7E38BEEB6}"/>
            </c:ext>
          </c:extLst>
        </c:ser>
        <c:dLbls>
          <c:dLblPos val="outEnd"/>
          <c:showLegendKey val="0"/>
          <c:showVal val="1"/>
          <c:showCatName val="0"/>
          <c:showSerName val="0"/>
          <c:showPercent val="0"/>
          <c:showBubbleSize val="0"/>
        </c:dLbls>
        <c:gapWidth val="219"/>
        <c:axId val="1529478816"/>
        <c:axId val="1529485056"/>
      </c:barChart>
      <c:catAx>
        <c:axId val="1529478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9485056"/>
        <c:crosses val="autoZero"/>
        <c:auto val="1"/>
        <c:lblAlgn val="ctr"/>
        <c:lblOffset val="100"/>
        <c:noMultiLvlLbl val="0"/>
      </c:catAx>
      <c:valAx>
        <c:axId val="1529485056"/>
        <c:scaling>
          <c:orientation val="minMax"/>
        </c:scaling>
        <c:delete val="1"/>
        <c:axPos val="b"/>
        <c:numFmt formatCode="0%" sourceLinked="0"/>
        <c:majorTickMark val="out"/>
        <c:minorTickMark val="none"/>
        <c:tickLblPos val="nextTo"/>
        <c:crossAx val="152947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[data.csv.xlsx]Top 5 profitable medicines!PivotTable7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Profitable Medicines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profitable medicines'!$B$3</c:f>
              <c:strCache>
                <c:ptCount val="1"/>
                <c:pt idx="0">
                  <c:v>Total</c:v>
                </c:pt>
              </c:strCache>
            </c:strRef>
          </c:tx>
          <c:spPr>
            <a:solidFill>
              <a:schemeClr val="accent1"/>
            </a:solidFill>
            <a:ln>
              <a:noFill/>
            </a:ln>
            <a:effectLst/>
          </c:spPr>
          <c:invertIfNegative val="0"/>
          <c:cat>
            <c:strRef>
              <c:f>'Top 5 profitable medicines'!$A$4:$A$8</c:f>
              <c:strCache>
                <c:ptCount val="5"/>
                <c:pt idx="0">
                  <c:v>Metformin</c:v>
                </c:pt>
                <c:pt idx="1">
                  <c:v>Aspirin</c:v>
                </c:pt>
                <c:pt idx="2">
                  <c:v>Hydroxychloroquine</c:v>
                </c:pt>
                <c:pt idx="3">
                  <c:v>Atorvastatin</c:v>
                </c:pt>
                <c:pt idx="4">
                  <c:v>Insulin</c:v>
                </c:pt>
              </c:strCache>
            </c:strRef>
          </c:cat>
          <c:val>
            <c:numRef>
              <c:f>'Top 5 profitable medicines'!$B$4:$B$8</c:f>
              <c:numCache>
                <c:formatCode>0</c:formatCode>
                <c:ptCount val="5"/>
                <c:pt idx="0">
                  <c:v>350</c:v>
                </c:pt>
                <c:pt idx="1">
                  <c:v>350</c:v>
                </c:pt>
                <c:pt idx="2">
                  <c:v>360</c:v>
                </c:pt>
                <c:pt idx="3">
                  <c:v>490</c:v>
                </c:pt>
                <c:pt idx="4">
                  <c:v>560</c:v>
                </c:pt>
              </c:numCache>
            </c:numRef>
          </c:val>
          <c:extLst>
            <c:ext xmlns:c16="http://schemas.microsoft.com/office/drawing/2014/chart" uri="{C3380CC4-5D6E-409C-BE32-E72D297353CC}">
              <c16:uniqueId val="{00000000-D4DB-408E-8278-7AC6483EBD0F}"/>
            </c:ext>
          </c:extLst>
        </c:ser>
        <c:dLbls>
          <c:showLegendKey val="0"/>
          <c:showVal val="0"/>
          <c:showCatName val="0"/>
          <c:showSerName val="0"/>
          <c:showPercent val="0"/>
          <c:showBubbleSize val="0"/>
        </c:dLbls>
        <c:gapWidth val="182"/>
        <c:axId val="1074986911"/>
        <c:axId val="1074973471"/>
      </c:barChart>
      <c:catAx>
        <c:axId val="1074986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73471"/>
        <c:crosses val="autoZero"/>
        <c:auto val="1"/>
        <c:lblAlgn val="ctr"/>
        <c:lblOffset val="100"/>
        <c:noMultiLvlLbl val="0"/>
      </c:catAx>
      <c:valAx>
        <c:axId val="10749734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498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[data.csv.xlsx]Sheet10!PivotTable8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Profitable cities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Sheet10!$B$3</c:f>
              <c:strCache>
                <c:ptCount val="1"/>
                <c:pt idx="0">
                  <c:v>Total</c:v>
                </c:pt>
              </c:strCache>
            </c:strRef>
          </c:tx>
          <c:spPr>
            <a:solidFill>
              <a:schemeClr val="accent1"/>
            </a:solidFill>
            <a:ln>
              <a:noFill/>
            </a:ln>
            <a:effectLst/>
          </c:spPr>
          <c:invertIfNegative val="0"/>
          <c:cat>
            <c:strRef>
              <c:f>Sheet10!$A$4:$A$9</c:f>
              <c:strCache>
                <c:ptCount val="5"/>
                <c:pt idx="0">
                  <c:v>Mumbai</c:v>
                </c:pt>
                <c:pt idx="1">
                  <c:v>Ahmedabad</c:v>
                </c:pt>
                <c:pt idx="2">
                  <c:v>Chennai</c:v>
                </c:pt>
                <c:pt idx="3">
                  <c:v>Hyderabad</c:v>
                </c:pt>
                <c:pt idx="4">
                  <c:v>Bengaluru</c:v>
                </c:pt>
              </c:strCache>
            </c:strRef>
          </c:cat>
          <c:val>
            <c:numRef>
              <c:f>Sheet10!$B$4:$B$9</c:f>
              <c:numCache>
                <c:formatCode>0</c:formatCode>
                <c:ptCount val="5"/>
                <c:pt idx="0">
                  <c:v>360</c:v>
                </c:pt>
                <c:pt idx="1">
                  <c:v>480</c:v>
                </c:pt>
                <c:pt idx="2">
                  <c:v>510</c:v>
                </c:pt>
                <c:pt idx="3">
                  <c:v>560</c:v>
                </c:pt>
                <c:pt idx="4">
                  <c:v>650</c:v>
                </c:pt>
              </c:numCache>
            </c:numRef>
          </c:val>
          <c:extLst>
            <c:ext xmlns:c16="http://schemas.microsoft.com/office/drawing/2014/chart" uri="{C3380CC4-5D6E-409C-BE32-E72D297353CC}">
              <c16:uniqueId val="{00000000-FAC9-4426-AB50-60822B7C8D7D}"/>
            </c:ext>
          </c:extLst>
        </c:ser>
        <c:dLbls>
          <c:showLegendKey val="0"/>
          <c:showVal val="0"/>
          <c:showCatName val="0"/>
          <c:showSerName val="0"/>
          <c:showPercent val="0"/>
          <c:showBubbleSize val="0"/>
        </c:dLbls>
        <c:gapWidth val="182"/>
        <c:axId val="1086592607"/>
        <c:axId val="1086603647"/>
      </c:barChart>
      <c:catAx>
        <c:axId val="1086592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603647"/>
        <c:crosses val="autoZero"/>
        <c:auto val="1"/>
        <c:lblAlgn val="ctr"/>
        <c:lblOffset val="100"/>
        <c:noMultiLvlLbl val="0"/>
      </c:catAx>
      <c:valAx>
        <c:axId val="108660364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6592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Profit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Profit by State</a:t>
          </a:r>
        </a:p>
      </cx:txPr>
    </cx:title>
    <cx:plotArea>
      <cx:plotAreaRegion>
        <cx:series layoutId="regionMap" uniqueId="{75CA143B-EFC1-4957-B9F6-327C788EC360}">
          <cx:tx>
            <cx:txData>
              <cx:f>_xlchart.v5.2</cx:f>
              <cx:v>% of profit</cx:v>
            </cx:txData>
          </cx:tx>
          <cx:dataLabels>
            <cx:visibility seriesName="0" categoryName="0" value="1"/>
            <cx:separator>, </cx:separator>
          </cx:dataLabels>
          <cx:dataId val="0"/>
          <cx:layoutPr>
            <cx:geography viewedRegionType="dataOnly" cultureLanguage="en-US" cultureRegion="IN" attribution="Powered by Bing">
              <cx:geoCache provider="{E9337A44-BEBE-4D9F-B70C-5C5E7DAFC167}">
                <cx:binary>3H1Zc9w4svVf6fDzpRrEjonpifjIKlGbbcl22+1+YciyzH0DCJLgr79Z3lrCSFYPp7+H2wpHOFQs
gslMnMxE5gH0z5vlHzf17bX+aWnq1vzjZvnlWT6O/T9+/tnc5LfNtTlqihvdme7TeHTTNT93nz4V
N7c/f9TXc9FmP2MU0p9v8ms93i7P/vVPGC277S66m+ux6Nore6vdq1tj69H84NqDl3666Ww7Hm7P
YKRfnp22H4vrZz9df2yKdleYURc3Y/jLs/NbfV3D57ftWIzujetvf3l27zvPfvrZH//fZPmpBnFH
+xHuDdERpUoKIeizn+quzb5+LvgRRRJzGnL0+Qd/e+aL6wbue1qOz1Jcf/yob42B1/j8/x/33ZMZ
Pr549ogCCtPFXzQTdweBT198fsOf72v+X//0PoB39j65YxxfQU9dekS0e+8Atnl+DfPi2uSj/isN
pI4ow0gSpr4YIvTtFCKpCKbqyw+7b6c/KdPDxrp38723hZc9+RtY7Pxat9fjdfVX2oseiRBRTCl+
zF5cqJAR8sVe5L69/pRED1vrzq2erc7/39/AVr+OI3jtS3398dbk35T23ztAzI8UJoyH4Rdzofv4
kuiIcU4Ylg/b609L9bDNvNs9u/16+Tew25vb+rrNrtu/EmPiSCLEmQrlfWeojhBSkir21RvC5S+B
8kvQ+lOiPGyoO7d6RnqT/B2MdN0U9U8vrj/abxr775EVhkco5AAr6VlJQmohEEZMfHvYV/P8KSEe
sc+de30DQcbwcHL1fyi3SGwJucX4TWH/vXUwPuIK81A8EqfCI6YEArfIvsQp/u3RX2z1J+R52FDf
b/SslJz9Dax0advy+sM3Tf33RiLoSFIMJsAAlbvZOTuCxFwihcSDWcTTcjxsnG/3eba5jP4Gtnl3
a8afolsIRfVfZyBMjiSjIUPivoGkOFICc0W/Zg3KS8v/pDAPW+nezZ6p3v0dTLW7rfPiLzSSPOIU
8m3Ev65l76d4QhyBl6NCsvBBV/ekNA9b6ettnn12f4eF7qvr8tqM+XX7F9qIHzFJCcXqYRsBzg45
naTiS5ruLZv+lEQP2+nOrZ6tXv0dQlJUQFHiL7QTO4LlK0CFkYeWtxIuI8U5VfjbM7/kC0+K8bBx
vt7mGSZ69X8wHt2t2N1LR//Dih0kbrAcZZBZf4WC583UEeGEU0EfTty+1hUfl+ZhQ3y97Z7g34uU
/3/y6Mfrd98Lmjso3uw/V0LvlPB+fPXz60HN1rv1RwXVL7o6/QjVUpjYUCf9XmE9DHJvhXm/LHrn
lltwmL88g1BDYNGqFNTspOQiVM9+miEvgSv0SEoiJWTcDBNKBCQMbafHHB6KjwSSoVBUECm4YuD7
TGcPl+QRpgxB2AoxjAUJB/9ek77sapd17XdlfP39p9Y2l13RjuaXZ5ijZz/1X753EFVQyCY5QBvW
ZohyArMIrt9cv4LCN3w9/B9ly2CuqrDak3Tc87Tr5sh2vC7iHAS6aMtaxymy+JyTtTtBDRlPu0ZX
dSwb1T/Pq2B8R2eK8qiVefkb7/XMYoTa7rROQ95FSlZSREM+tscZm+RLlI9cnk6cz8WFZkN3Q1dm
z00rlD6ziFsd266w03FGU1PEdM15tR8DhdrIFH257EqK+C5v6uxj2zPW7OQkOdlJUuo5GmuSD5Gb
lqU9n4NK/IpcWVb7NsyXC7ai9Hw1g7ZnMkf83bDO+F0qsHxj8mB+2a1jn0fTaoKItyg7m0LJbVRU
uZGRrK06w2G1vjDt3C5RHaBijCba0ukM6zRH+1mnOjjjLsevUTtbdlxVqqh3g1sHHlVZqMpohnSy
3dEqX9KXuTB23bN8tW3cNZTXkRnmen7Jp0aYC6jPjybGKdV13HcVFVFehssUWZFpFBdl038a5qW7
wDYozB4VTl90rkTspMsNoTHUtVge0bl0r+cVNyRKK1zkx+O41GPcFmOpdrMK0Bzxua9uqqBb+1MX
2rrbOVPBA2jG5W+oMOXLKkjVCViGvkGynE5cmroXaefUJZ6ndowKVeplbwzqfsWE2CJay2ZJE57p
6qzXC8piOunlLeorcVUNiN+gRZJib7llTdTYBVQjM7k20Vzyem+Zwe8GW9h3MmN0Op5ramQsUYNs
TIUYzsvGtq9p3gxjVMphKKN+DIP5lC5j7uK0yZZdLuEJOzaiqdlbS8irsqHdCcuG4so0dOyiKSz5
TYhyrmFCYifiSuH5RVlP+bnKSL3LbMhvaZubLEpXprM4ndQCKkhXdUqnoHS7gRU43Vkxh/C9kP8+
CEts1HBEqnheVbPEvKE9PZ4RXtmJW4I1jZwtUrSznK7Tzk5WvB/aLNcRItycGbku1Y72smPRIPuC
RajX9hMP14XuYIg2jQvUExU3fTVPEZaDPU5DKstjRNr0qpmWLMK9q+bjaoEXi+Zc6TByreuLKMOj
vhhqXn20Bc3QqWwCFLcps3rH67JreTTTXFYRILp5rVQhd0ZYWZXRVDc4wJGhunzbr+pFLeyyb62e
xRghrvpzhAcF05Gf1E7M5QkyqHzb4hkltHXrXhR0vciUqc9dPuHjYcHpEBfVLObnTrVjeBXqonur
Z7JTkyEnIZtmGysy9uUZVU37OsvL/VgbNyVlGpr1tNEwU4aqZM+RlYWORtmiGR5AchqhNCj6D8Q0
6wWewknFVQ/z5CzAaeXeMiqHIB6cm1AWEbfw6niyqNY60lOpiqgpq+JDGgz5q9m2/ENVz0O/Q9k4
5Kezq9v1ZVHVoYtDgIw9VqznaDfLbAlcpNRI5ClXq11fksy69XkQBOXb0Y2iigYyMntsF+rmMmI5
tuIkGB24+Sg1uQyirBLdsQyG4bpb+vPWyHJfoGq3uG6IECAp7pmlsWAM3jb6H9Yrh2xvh33VLP2l
wdOYhH1fHd/tmN2LCzdd73SR5V/bld9//debroF/n1tof3x46Hb+8dvzb23SH34rue0OCaDxv3QI
7t/H+qNZdwio3zt3Xoj+0lh9JH7/8OK94H4vhfmWpH6O1CEE1sdD+73E6fv3v8R1JaAeEwpwp4Ry
yI/597jO5VGoYGEpEfTvJEYEsrWvcZ2IIygbQBWbA1II9Pcg2n6N6/xIcAS1AymwgEKPgmz623vf
sx/kMQ/E9UPU/iOqBziEZBDmyKEGcTeam3RJu6pQ/CQPd4q9NBOsd76//38wrp8l4GLipl7EfmR5
nUfr6ty7HPPlS+f2S+P2PxgerHJX7FIElZuXVuxzPWj9auYryt5ky9p9+rH4UMF8UC2wUrk7vmrW
Stoq5XuFmVmv+rBRKMpJycIIUdTgiJJhTL+A6j9+GTD/3YcZsH05Zy3fL4ZIEklEMh11jsvff/wy
UG568GUOGd2djE2oAfWlcnxvw54+D8OZNq9nVCJ+4eTYLkkgVghxjRt6WFNtML6EmX73gb1E/SQO
D5xqJZazLrcpRGVj82L/4wccBnpg1h6aB3cfIIt1RqMlbD9XRsyQSZEUx31lcH7BqrzEz0Nb2Soe
zNA6EaGahsMxavNJn/z4+eH9ZPg7bORB1XdU2ovGVMw4trdZNg2xxDIRJPzUV2SYwaVn89RE1ong
opszSJUt7jrZRkEmcQPFny06PszcOxLUmWumms2gAolZTHT3SbC5eOL9HvEK0vMKHSB1lm5ke+eM
+A11rovSyZYvt4nu+YZalgU3RLN9RYriFgHP5qINisrG24b3fEMXzKwfcsb29Simt+E80GhJV7HN
80jPM+h6LvseD2w/dsG67tESTJAg9V0nNorveQO8ZKF0dQneoKO2jB3nC42GAaC026Yfzx3g0gVt
Z/ogaTsn+KUpgK3ythnH4Anf+cjkER76jUQWzQuTydqFzd5lNNDRUlRGP6GgwyR8APzCA7+CNU5t
sUuTLoDlwPGsw37a17MLi91Q5FRtfIwHcUK7VM59IJJxtHg8aXnXov3ahvWy74txXrZBTXg4Hrpp
SMnSyKTH1fqm0i5/2cIC/82Pbf2Yrjwgz9UiwxnSjgQHS7GvjRbkIqOQOr6rmKyWJ1T1mMUPn9/x
RbnMeli19zLRNXWnQbOilyoLdR39+CUeG57cH75LC4dAOTyxYsBLhMqFvudr1++3De8h2k6iE1Bz
4clUgwXGOmv21Aai3yi9h2dbkNbVrpQJNVMFNnByCSKDXLFufICH50oFbFALaF+FzdCe9iFr570u
xTpfblLQIXG9a16BHTFhsPBEmbx4K6Qxl0uRDe4J+Q8z/QE8cw/PjZpmVtpMJE1thvSVaJrBviXD
qtDZGORKXEENi/DTbe/ioVo4DT0gxETSEzoWJ+NKFhXlVTOjbXiGats9ZS2FG/iItUgqk/X01DR4
klFpqX4qNh/U8pC6PEi7rMxQM8N8GlLX612ZESEum2Cd+Fk2pk21XzLs2t/qRpLfbZvN7ROaeyzn
8Qt/9ZKloltn8Lu1rPuzPDCpgMy+UpDWyXEu6Ri1Y7lOcZHzvoEKw5qJHacz6V5PaOR2o4I9b+BS
HggJtaakEYHdkWIWiRQ1eWIyhgdYPqRefN9+bBqXYoCCRULQqrv9GqbTuGfputYnvSLCvcxM033q
Azo3J3SVLXuxEILb51hIWf4mK8zYE6I84va45zhkW7K+mwua9CI1JOaruu2XZR62Oe3Pdd47TrvW
hIduKUWig35OsjGkdZQRmX3cBDTmOQ0bai7LMqNJ1i/yPYNQ+sKgoNnms5nnMwaStWUQCJWwGlYy
sQ1ls0a20M48McseQdmBhnTX55licAwvWiajm1N8KqnW6MPSh4C4HOeoi9rC9k2EV95nN32zGrzN
LMzzH2Rua5hEmidcpo2N+gGbBmqCNNgYLpjnP1a6VoPlWuztwMI9d1O2W3kX7LaZ/TCZ78wqnkLp
vRyWNTE2G5O1FWXEdV8+4YMegcShy3FvdKhZBguEhqTERRPjMSx3qevwxknlQR9WPZ0Mi25NMKwb
I5SH79qMPpW1Pia6h+aQ9y1d6mxNMuHG59a1CHKBIQ/LjfPGywLy0o490W5NgrRRp3iCOnFKJE02
mZV6aCb9xPqxgtHHFNN4JsJEpgmLbbJTD82yxaucBJg1GHEeV8ROEa8E3eZHqQflEgUazalZkyEs
6mOj2iyeGF2Pf6yZA2weiBfUwysUyPN1hc5CMgfsFpad1XRMx6pvk3EWfOMbeJAlk5jaskrnhABw
X6mxK/ch7apty3HqQXZsIRWaVz4nHWX8VCpmd6VrN7ob6kE2HJs6lWtpk8zU9LyoG/G8X+qNonuI
hUCdQiuSjMnQQfE/1gybWORLle9+bNxHQEs90LI0M1WwQpmnb4vlrBqz8cKmab0RVB5koT4aTKEt
x2Nts9m8JjOS9UumJc+3zRviobYKi2nIJrxASmhX6HWw90659omJ/4huiAdaVgYVlTKd9kOdhxEx
FkeDUnaj6B5oSV9SnJZyAs0H7zWG/K5VS7rNrMTDbNWvOggM/yo6xQOO2AT9202ThvhoZTK1Mg+n
vZqhaIwPo5vtijmY406ArdDUp7WB0ZdS5TE04GzEOS43yu6hNadMdtD5h9Epvh0KWh9nRbaxskWw
JzrstpNFBoNDI6xJamjhw8qLL9tyg0MT5a5ilpGItHbVtGdjOkdLOOEo7NNxW4giHlabvMdtR5Dd
t9PaQt+0uLXlGm7TOvZwalY99l0+231TQZOSU/Y+mAzeOLiHU5QyTVwejHsxoHZnluIa2ARm4+Ae
TAejlhIyYbsvucojXhZ1ZDUWG0f3cCpIGWRFoEB0ZcPnBtojl6nI6m0tKuzhdLEUt8B2sckawl7P
aG0lZ7tgDKTZNmewB1U8LKqxfTYljjatjgLSs6Sf8Xizyc9gD6thkWLdLQ1E1tTUZ6o04c5Updtv
Gx3fh5PVaU8yx2wyKvJ7WOIrQ8nVtqF9pBpXNs4FY1LkwQtwj+8dFhtrhdjDqSqKRoStGJNyzuXO
5uxNV6XdNoMemFl3XUxbmUAraW0SFGMR16W4EHhA2yb7YdvS3cGhLTz3ZpHBvq2Xj4UL32HWnG9S
eOihVBZzFkC8dgkMa8ZoxSbnkTMk2+Z6Qw+nU8ZsXlE9JsDORb/REfwA0K/WcFumEXpAtUONUZ12
Nmk6ve66RXzIiz7dqHYPpKksBjEV2ibMaRc3DTBhTPVU5/UwyAOLgwN54K5NVctp0QfNmACLTz2X
Jguf10Hav9tmVg+ieATGDuwJh+mYp3lEmvk3IYuNJvUwutJOlWle2USziUShXN7Xg7zcJreHUaD/
LXNBYOygNG+odc8ZNc83DY08hHZzmmYjycY9MH2COCjTi2JFG+sDyENoCDwasQY42AO9+WXjxHup
Xb3NtSAPokEOebruQCd13l51WXecNvk2T448dNJ+dmSBAv6+W6cTPeNzyrZFUOQBs3ds5F0Pazve
ZBeyW5JWp9varMiDZVGPS24tCN03v66TjUvxdtsM8SBZAwuxXyswIs2rD3pRV3Ll2/wU8vBoh6la
3MzHxJkyfLO6ESelJWa3TXAPkcDfW9qyUGNiAqAS4LY6Uan6bdvYHiKrujAMdqwHe1ZAdhsgfk0V
2RbYYIfGfScIE3sYagQhOS/4EjFDg51SYtoEHDim4v7o0kxipGwK9gN/rbudhCr2Fp1Q5SEyz/KB
DrkbEyuBzDET00fhwN9sG9zD5Az9Lufa1OzDvD+Za+jtD6QcN80U2Ol8XyXaWlQFNQwua3ZJbH9T
UKc3asXDpaLMoUEqs9cNuWQw9mKnrWN70AznQhCyhFA2xgRdWJmVZwNd+EateOjMDZ1qyGdhorCV
Rysqf615vinBosrD5qIsnSsFyF+IG8sY0ZR3OwwZULHJtVDlAbSfG5pCr2ZMMtpfB/P0DpoPv26a
ij5ZayIEaU5AL9ZmbDfYqoiIxGJTHgEFIW8u5pOAevQCgi/Lpe3Q2TINGxHqk7DKRiAqcmISWZHn
NRAO93CGDd6mcekh1GYaOJcW2LOor69oUMelzjclKdRnV2kWtC4jjUkwZjiem1DHIS0/bTOnB1AH
HQUjm9EAm4G/z8xyVgj2etvQHj4XPaaVxIFOXFjPUd2J4bhtym00DOoTqzo2t2oCrlACLaR1167d
C0HMUxyDw9v/eyJOpQdQ22NT5eGskw64NrB/wurgPJiQe7VNMx4854CAV6QWLDq5jwYyuMXID5uG
9tlUIwSevOedSSqevVr6/hQ1zbZ56BOpplRWvKypTtZpyPfTnOFdULc32+T2wmexwoYcvVQmUXkf
V9S9aORTaechjj1gTJ8yNQdQD556oZO8mZiNtODl84H3C+wMwdbF2+T3giir2qWtOqaTuiC/1zl9
F/TVm21DexBdgPFYc5FqwP9kTiYDWzDCiW5r1cF+sPseN8M5KzTBIDgN3zVT0EY06N9uk9yPocvQ
w56f3CQMF3Ter8Q6Chu56rzabXuAh1OaZ5m0soYpuQRXRYPfFMO2tTjsEb6vl7pgAyyYYejUqasR
FS9Twje1oahPkKqlS5thcjohaYOTQOLxKsxgw9omnfj8KCwmxKYCZmKKVhc5PSSEbmSnUe7BFHZg
BeNicp20U48iNInjYc62VYdh18N9lY+aWksVqBzc4/nk8HnNlm0Y4h481ZzVthwynYg0ayOxunOl
i219M+oznRTMErTgSidhN12ScLjQaNwot4dOXUB3gs/BkBgu3xWhvqqrYdMijnIPnOlCmyrrS51w
0EykgIQeDa6R2/yhz0YaSTkEZacG6NvkQ6xxdWUDtS0F9alICME6q2VoSLKCNLD3EQoVe4sCvk0x
PhWpLBWw0koHuFGuiaXl/FVdoHWbRX0q0lQyngLXbkhWpXEcGvoCIum27jn1aUg2aGGr39LBdOkU
RRX4WleZPJJqqjbVcKDDfx+jwAVGKlta0H2WzyJuoXiWpCkdtvURqE83cpW1Ujdpn8jAVEM8zX3z
ySoxb1w0Mnpf/rDBiMIG1T7RuTO7JuNlBBpix5t8r084EmJZJJpQn9ia4xhxILETWP1G20b3EDvW
wMAzpO0TQ0U2RuGKq+vKLW22cXwvmi6F5npeQDddXnZRMTa/LnW4LeYxP5zibm4CYUHvrexPnEEG
9uB2+ckmzfh8o4lMxPX13MOeTra+Q12ancDhLH21TTE+4YiAn2TYgVlVmw7mGPaxEhqxtOPDxgd4
YRWacVXX9hNonpj5VGv5az7U22rz1KcciarBwDHWfSLo+LrIzNVcja+36d0Lq1nqZlLX2ZCIVv3e
dnMY5ZQ+xa09QPKBvN0nGg1QMpeBbfqE6FL+LqCpcGKrZto4ZbzIOqJgcSthXQJIVREH6ksUuEDs
tynGg6p2AfToaxidTc5GLOzPqvYpFtPnFPQhxXg4HYoF6HUSd8nEqyyNoFtcgrMRxVLFWaOy6qTp
3fzaNqY+JYYEPBnzfGBvYIubGC6h/mf0ayUaflJBX7I7KauW8kjUBRTjs2WQsHd/peWgf50HHNgY
uaGtrrs8D4aYQ2KJdyGDWvte9HaxuzqEKlnMoUu9nNohkGWCxZLT07QrZ9jbjKCa8FsAzF53HJLS
iB0RC4w518W4HmeDyg3stsOrPW4wXtadmRrS/r4IStPLkfKg/GBCNgyJXLGaEr3A++76cWX7Ek1M
xq2AYxNi7kRmT7Kwy9QFly3sC0PDil9jqeZowlyf9oXRa4I6Jd3x3NQT3U2aZmw/iZlCCbvOJxpn
dd90kM8q5WKpCyKipit0eD63aalOaxKONFlB23PMSDWdrmvQvNDthOiOomlaozLV6fq6DstObMtC
qOcwm4VaXlnSJZzlHVR9gghnRG3zNz7Ti9DUQSJZ90nOm9uUVq9TUWyT2+d5TdCJWWoMcjObJkbV
ZykLtxUHiecl2QTMlBAqSAlWaonSQFWRqsNuo068zEajjPAKmnZJhssyWqrhEy/1tqTP53iVsL11
agXqEuts/wJ2gxUnHZyLsM2VES+nyXmBbIu5SeBsDHpBIX8F5r8d329yZcRzlLrJpmnqpy6pZGbf
ajmsUMxv5bhR7Z6nHODMENgmorpEQVE5Yri8yNds204z6pO8EEAYjmnou8R1fdrsOjSXyTKgYuMq
x6d5hW0RrgGBGcmzhi17bFq7RiJg1bDbpHyf6jU2w5wG+dgl0Kj6NPf0jAVm244OiuX9VLi3s54G
J7okRwp4ZKMRSx0TVeJP22T34DqxYSWTxX1SD2qVkegGAj12ifE2LgbFHmLnvq1DtGSQIMAJ+3Bi
yAxHXRTFxgTB53v1Yk7LNYMQDj0aHQOjjMd9AKeQbFOOh9kZwVZpVrQd7Kqt6zNOJjZGfNB8G7+f
+mwvU7YZEJk6cMOtFWd5S9DvsKZ120rB2AOtWJphbQzkq1DKWk5TmtpEoFFsnPRefoMJnIhUHKJT
WTRZbOYhi+zYNNscjk/5CnW42AXWyUngWnKbA9v8dm1ss435SX3SF5zE1ZZ5WfUJ42IKTivVhjFK
55k90Tt8ZF8d9YlfsLc1TXkt22StQ6Lf9FUxdXEqWtzvZtMFb2DD2YsgUHW5gyyuUnGmYDF6nAeM
ddus7/PDYFMwR7aE/HN2Qy7joCnhAIomb/t62zLaJ4jBeUcrrFkOnikdw/S8KTLYd+YGN6Jt1Smf
IrYiq2F7LW4TQsKiipa5nGlUVnTamGCFHry5WRvdYniAsxhoy6t9B+z9m02uw2eJ1WPjRmXXNul1
a+IlI5/WkW0V3EN2NqyhMZVoEshtj2tcnWFstpUAPm+hvENFb4IAZTOcIJKMdDJxFVBoNczrq21K
8dLlMa91FsLBYUlqtdzbHGdRw4qNodLnic0C/r5KCxZNCr0EH5pyJjc6gHCzSXafKGZK2nZw3leT
QK71QkzreT1kT5zlcphvDywVfZ5YtkCfkeuuTcyC87Ow1jKCvxUzbwtiPlVsrnghp4o0Calkl8HB
aXI4y4Vt820w9QljVC0dgfPymkSwtowHJU8qGrptccCnjOm+zbJUFW2iaD5fGN3AqVhjOV392KaH
CshDiveyZjVXbppDiO/1SgdI+ZHJ1L5GYdftOazq2m05ls8hk46ncEBh1iXIwhFnUc7G8gAtpLpt
sfjwpyzuUlIbOARwmFQBc5Ph13ZEr7Iw3TjtPcjCSRajRBpkh+oa2xUaSvmrDdtN5oUzs+8L3sJk
DCpgBe5DodNXkwv6123Otu1mglO17o9eF21oETb1wQfLq74hLBkLJjcpnfhcsh6qCyht2hqa4VCV
6AZ5FdCs2KgYL2u2bmyddUUNDAE4wimGzYfD+7VW3bRx/AMi7rh5OJAmTftR18mqxQeoHT1vRP7u
x6B62JuRw+lmd4emE4JuNewQhE2rXVpGg7HT7UyGbUdvEOVhtoDlW5unB7X3MoWCo5GnDWd203Qn
h9OM7wrf4dIuqwbh0yyHslOI+wiOVNkWoeBE2PujK74Kx+CwvyScx9Dt2gL4CHHZtuW0qfgCp17c
f4Cc5rSHzLZOwpy7ncwQuuxgP9+rTZb1WWWOF1Dhmodgl4XZ0p2VKEQvMIajCp+Q/nOl5d/9MZyK
e198OMwdL5xbmDqHA0JfDmHY2pOimgZ9DAsxi4/hLD1u4ATOGs4+DRysCi56UQ7NexwSemw5Xk8F
DRyL1JpaOF3BBVX1smnZguNmGFwRr1merh+61BX2uO0h5saWlcsNaSg9n/pyPHNFPh2T1M4wBJyB
kUeogaMs3+Qh7G+5qg7nVLxpC9mbHSzY6ApX9RznCJifL8o+D9YdfNsUzwlOu2lTIgkHAd/XCfAa
B3zYkLzP0rB8MalKXeACZ9sCLPEpcV1QsQ6qo1WCF3TL8XClwuxy23TxfAysNV0T8LlKyAo82xrT
U9yZpw7SODjCh6aK52WsDZpsNUuVDD2c1XGqzVrPu//l7Eu2ZFW1aL/IMVQEpKtGREbWu8jcRcex
q2MBKgKK+PVvxm3dE++ed96IbjZMA2GxilmIANRD5VEhNFDmZKq9qbsGvb6/f4NkFpRlK5WnSEfs
kEmvjrtWzdtt63QVc9pQL6gRiTytU9ZWUb1/cX36b+t0Wez/tU5XISeJm26RZpEnppbuE1DV2Uve
NtuPrU+if+ls/tO/uAo6cS14k+pZHuxGJISZ3WzmrlgNmu3nzoPR9i9F9T988mvUHOAJzbIy1Rzg
ZSjlcaFbAnRYpA7dsOdpCUT3bV0lcg2ia1r0TmqjsGhjGgHoxr4gEN14gV0MRP77iokgOIJGwChP
CcZxjvijI8m/BOh/+BLXIDpOgOXcwcGtZDNzdxbK0uOUC8z9WbOq+CZ0wX8Uy//7B0BMmbOu4xFk
OiAkCK5781XM/DZqK7nYU/73020Qcwc96/7EOXVHYK6hmdsmtxUr5BpIt3ZoRZIlaU9dlmdHvQao
h4vupjqO8KuDHDOdKMVVXSVrdx/XpMgmduOaXx3jQGJlJ4dH73t2qMV8HLr0pvqQXGPoAlTXOitk
XckufeA0epjZbV08co2hA6zwIoTb1ZXu/XzfW+tOESWfbgqb1xC6mvJ2DSTCZk8ae9DaZEUQKjve
9vSrUxoLaWoaR92Jd1Y/APX6ZW7CbeKw5BpD1zDeRGu6dCcVUnVchBvv4lndBkUl1zC6KGyYpwym
O3V9P1e6zR8jbuzhtnW5Op5bH8+LJZOo3JB12zFN/Zs2Ut7WVIShxd9PfzsJN6tsFNW4zs9STafe
TLdd4tdQutBuWzM0SKSUg1D9uIxxuSv6L5H38vP/xzV7jaRbgc7fwfDDIbLrVAA1VmoGReHb1vzq
gt0h0mNXpzuwloZQjo2GSnhtRnEbIA2C1H9fdDEEcC4kFSBaTXsKr4PaPEyb7G7jQZJrNN3Cxnrk
MxHV4HfMbD8ABfAvK/OfVu3/WPdrLF3G9gTiVE17SkJE1oe4GygIRg2EQz9DKWk6dVTspODzOtAD
Q3fNl7OTdIUcp2bhOC8ing+7Tpr0x8Bpup5q2BPwmzrwsBr9+7Ju0ZxAd8NdyiXjmnNH4nw5tFba
sbppX1zD8Maug49G0vJqMy1DgAo9zCRaWJ6S22qPaxyecXLZ11ovh2Vq9WHIM19pkd3UaSbXMDyk
bJRoMiyH5KL75ekMpnbGb8JXwzfn72uv+ZrZ2uHh6wLtZmWzuZhUehvGj9Cr2zhrF7Dhl3E5pH2i
SyKTvkBH4udtX/XqtE8SZjHxxYdlTduhyKMIBK4ti2+7165BeA2wpnEWEXeYgKwpJmkaeDsQ937T
u19j8DKvNUnY7A6RwNQjk3tz6AK9bWGuNb8645MJg1h3gEZl+joOm/zJ4p3flgZdA/B22vrZLas9
jCNT8KpYoAiT1bepnpDskrH/V79NwSxiJzm1h45v5khrB33xSN42YyfXIDziU7Ir6eyB+KEF4sp9
Br16+5cY+w9X27XY1+JnSGbxYA+BJ3shY2lKLm/MVbKrc0rlwiIyY9X3AXIt3oW/YtPexiUk10pf
0a6HuVZkOTRgz1TCt22JeHzb8J5cY7920CDqbkVixXX60w7k09Cmt9GrYWH49+3SDmgpTzpb4Api
4mLTaX2oa8Do/t+n9B/KxGv0l0rknMqJ5EdWK7q+tsvQDcfAUmWOmdG4Bf/f/+YfNs41EqxeSZ0l
PX4ETLajak1pU47bchsSDJ5Vf18i3dbcOYanN83YVTlgYKWYwu/bXv3quMoe4QB4RnPQmw5lN8x9
ZYf6tovvGgkmdBa7gVJzWCVMroY2TwsIGO+33XzXSLAwoNzYjTcH1+7qmFj5tic9vfGTXh3XvR2y
fUKv56DzlpeD2voSkNTbYP+Y6v/9k448cMfzWh+iITJlv+uxIDrcptwEBvTfn15nmTIwf9KHDu4+
5U4H2JdBJv+2XOwaA7YkAS1n0+THvh/3z3ust/c+Hv9Nt/4fjtI1Cqwm3icLwMoHahLwUS4Jh4Z9
8G0R/uI5/N+XExxu0K4OQhyzCK3zNfo1qfHzTQfpGv0lkzSp4Z/Bj9D5qhXM1YBOdO1mv972+Ktz
mqiJTHtsxJHqYQQAt99Y+8gSNea3ndVruS9t8wVZvBZHYZOiF+m9im/MxK7BXxDiml1I8eghw/V3
wUOMtwESyTXyC2YQXd3yWRz3i/SR9ElWwubL37hdro5pH6vW7WHKKqhw3Y1Gv8bsNjVBcg37iilA
RWQYsooB/tCP0WM2dh9u2ir/F+QLMkKtISMs1dgyJKdMK/CuWz8sb7c9/2p2Nepk7tUy8WM2JRsk
1DOb3V+oev+mJ3g5jP+j0r3Gc3WR1Fnua3YcdGTvXL2uw7PlcdMcwFPl9bkZdt8+ub3+/yiu/1Oq
/q9/enXJ8pDW49rPCmXrBtvDMlGdSvVBSpw6dWzrTapingbY1RQjmXG3b30wIz9PSrN2OKKw7uVQ
qF2u4dzWIap/EOIBuxtjQFplQfqwe18gydHzo2RJrp9WW/uEnbco47MszK6aqCtiIjrSFMZxjUQI
xpRaF1TMU/NDm3ZYkiKTvBvOZJeQe64CCnreVGFevSllIP32CRJyfu0KKmHxA5nv0G12LBKxRCwr
RIA0vLxLtGSQvh/Qs3RDAV6BWvCClk/jm04HFDI97/O/Bj3gz2aZs7VigPuSYsEKyXJdfdqd9rBs
cF2SMbHjjwlNW74Um0nixBc0Z037bewyKX4NsIsbVhA598kMBdS++vD1AtK70/sQtmKEaJQtve9s
IisO4mR92DGySQ+wtNtsWefYaaJcmQ/wvkzXncYPSb4ycezosg/ghc1TuINLwFhyplf21McLjP3i
jnhStpzNyMLyIa/yAQK4xTY3bB6B3+yntqmcQL0PT0QKU8EJbzaPhhd5yjh4I2t3qjOOtBGxhMFg
D19rarvC5MjsCpFEaqiWYUy/z25glQ/7xn8t3R7IUZuJyufdpDl7b+eU82fiakIe97rNl6ZSOzgq
2VH4JYEiws74op7A0MjxvXTXabxcE++iWY4xVI2RjQ3xtMu7wMjmf8750E1NOa1oBp85GEjic7Lx
zYZSjRmcxJo8ushAqkWNPgKLZQdoCwo6HB6Mh4BvOU3nlKKRlp6ZhHdpIZkURyZbeHKyzQ8G3ZQQ
2fWSWa72IV6sPHiDGPXMpmbpP29b2ow5tsOULseeULuVU9NmKVRi2wDvzxVmf99yR8bpQWw7Cr+W
xstmCq8dmvnwRaU8RQblHIHlH/xfSf8hkblhRwisyO0BfooJutqxg7bajjGzWxtwt+JgmQOSk0Fk
LVbLz1RF4MyYlWf6E6dDkldtbWn/E7VPrnBoYIC5Vrank32WS9ywz4BnzcOxDxw0ITHFE73faZTK
x6T1cv/djWpawJgx0ZQ9zzi07WHUbUjPekj6+UsbDXmcIrzJhtGCD5nQz7FzMvmZ9XWdh6JuxNCc
vF9Xeh+bLpu+9p4FWkLzPgYbvfEkEZB2pkz9qp1vZFPIWeY/KWGz/gJ2+d6WmC7h7gLPYwpPQPXB
A3ROpyj7NfVmhRckzC7DZ7nHSVLqFifpV59hm981Mt2fnYibI7wp8/4lN7CnPMR5p9uPMzxX91cP
gkcaYRIN3YC8uigRs7P1bhz/kpjctA89m0k4TVOv6tOcisQ8LDPMd8v+4l/+LWdpJn4nXtbPoJBH
9xgj7b9AbRmK3tOmaiAQFFVbt+f+Hh4S634H8SDyVYkuE5VWYDp+4KFV43PS1F1y9nC4DQcYT/bb
nQgmZifONhl/iVkt64/tLBpd6uAiaCL2sbAg0QwMRn5wp6Xmyca7i89EM63eYNxRTy8LFbw9xq2c
eOW2fkXs9DQ37RH46cQ8zWJlvxQ0AcayRsvQv7RbbBBK2mnzB0YnZ5oqxrRqfZA9BI6PdbNo0Gsi
vjaf29yK7DxorVnh6siwn20rel02o5WuL/IxqWMYHWVkO1s1WFc5n8ZR5eyYJsWodq+/ESfwBhWN
mwRyhhveoosaa4p+i+x4GC+SPAUE7Xb5DFfbNjtQOAh/T+PgGezVGvhAw2h4Z09Il5o/NY4wL3vV
pgOMVj2dvoQZ/owQOBoGSJ4VRO57d/YOLNnPAf50pi7a2fEN8X7XfpqK3uGa9gU63qv95ZeV0HdY
cBhcCBJqNeKjwlMuH1K7xRxg4ohJ52H06UALcD9HelIiEfKwrnCLDUWTuHx/8Jtt0LXYYGMl7uI6
IEcEk61tzxYua1Gxm66LPjEqTVq1GVuiysZrIioe9r1/N/FO+rvV7V6clmGK6mr2aR0eCcxyXuPE
9t0ndI7SIItOKSeOUI1v3L2QqGCeA1pi+TGTHe47V9d0Bs47g9Px0MS9LKfdJK7MtOEReAvG1p0H
e263yUcXywFkjDFz7rXbYp7eTRgZ988TlO66uVhDBgMd6IoXszciOSdEWPdC7RyNP9Juy9UjU8Ri
j43toNrfROU7dsIAyTZ7mJq8W4/4ZVt/oIPM7BuTa1vf26bryRkkWqaeFpPC4OuAcKRYBV8mUv/Z
IZUMTXPb9vTOTl3TANsMBhb2SA4dpfu2d0HfwdiVADOcAkMcH6yG62GxujCmn/A/8/c1ad32XUE0
Hpx0kbZTVs6QX2zKCPGpLrdab5/6lDlylwsNrgsdR4BVh9XkURn04mApZya/gUCy8qTEQCFvX/G6
lL5sPjTdXTSmGSZHXS2j5fMw7NN4D+huuyMrGvftF24NO0popMZx8uEyqSFxCS9qvj/tscgGi0i8
h/oMG+VEQGiWwd3s0SMgzy9wv7DmHLtWuLvNwQj8cnNvLTQBGiyjtYUTOOUx9OqafWnKufMhfCBi
U6KAa1rOjjwbEN8KSXxvXmKX5POP3Vid9YVy60bPISPx9pxh97dfe7vBggY/kkz1i0Q7zH/MJRbx
fk/h5VyNZKHuDvd/pBssbjqsB79z7hskT27a8TFNsx5XL6PhjSfBDa8r1my9n3vAQl/6tWvh2N23
k/26aZ7Sb0PKQz4UUAiLR42VIhfXbmimxq9Qrc/EjwnKK/L7rGaZor6CICIphz7t+d3AnQ3I39o4
h4X4HC0BV6HacH0g24NkLIvoyisLkYYpAKPHo59QlQ9ZGeNS78/7MsvPfMH+PsjYK1Z2246e68DH
7AtNgYsoScjrvkQtmnE4Ik58OaWKU7YWZIuH+Vm3sIcWRQL5zqMWvZqeyKB9pAoGBtaPfprddqRJ
l60vyRgb6O9izio+Z/no2+Oq4JTzOqct+ZpbuLxUNqvRCsi7yLHnMOqaH2PT+/QF8ycyflSS2/0h
6cd5QsDMcDYAiwdQLT9JiKiap3pQQm9lnmXNawDyJSo31g3rR7v7GYRo8F5TX0LGsJYlF0mnX6RF
j6loh0bNBxLAq1VHUNSSQ16TcaxMXKf4El2rkqds0RcnV2YvyU8OaGXblCJfaVoNyxwnSyH3LXzp
cwXVpGIfwFr8rEFuI++NZdOjGRdkXGXb9FGZ9FCFCyWi+1pwz4j7ki6QPbhrmNe47/kWI00nIPBq
VwSSRe7c4RXiD8s0Ol6mlM2VDO0ynuSGo/6Nxsavx5TDfRnOJAaSZ0nWkbwiCvDgwpJkPwpcRt4V
hta9fV4AnRJjObCBq0dp6/CSh4sB6m528mDzXMaHHA42G65RpByV2TOEfa/WqDlLNlL3eYFV/fpx
NEtSYkYyp9+Dqv1a1r7N7pCuwTVTgkUzodNemK1v71qnIayRgVeNy5aU++6ELiaYIbHKmTi9a5AP
fPEDJw8NpJSGgol+tmWbpKyBZqtOi2nKenaf+yb8zsD+6Z/g0A4E997bXTzNUWpeYw+JV5RAxD3C
jz3dkTslmXldIw3Yrtt4yUAjf8I8B2RtmJcSqJGDhvwUTJ6+TT5qDjLtGby9h809rFKJl8ZDQb+S
2MYl3RZfpm3d3WVZJh4X1oT7JtnU99Cs/SdBlCm7mH1Q1AxvtBejKJpYW8BOFiXlXGxxJ7wtGmS7
4RhgVRfu2Jo27yzZ9L3rQy4qbGdWDnDH3o6j6el9AHwxe/NRzj81ygO1UKVu5NFdPfDVq6LGzs1B
kw9t/LtzdXBvlDIWirUbYBlfsmT1oeouegBnFbYdsim5SYKGs+482xR1TEemvmrYmkT3a5KBjQ1a
qY/vTZvU4tlGm3XHFTz/+H1nKmWlCNnqHpZM0+Y7MtdhPlAHx/M73ekue+w3GKAXSzOuqvCJNvk7
WZSOX2ayEH2ATEMYIUlgWXueolWob1ELL+G+pKGjXRXbvnXFQjukosItvCuNQo7ii5pEhKgiUNjB
/9pySubHdZvW/SdMqTzSodblFLtb4WxRXfQgDPUHqOjU6cnkqus/bAlq/8M0ZmQ4Oo64U6Giafh5
vsDvDjMfUvICUk1PH4CfJUmViI2KcwLa1PZXBzD28LJYl+u4DKJZ23s7WxKzAoIiOcaje5+q8AGl
MU9RBQOyuT9YqyziQjtynzzpAUfyk0Sx6r9JKsU5mzAig+26598SS2T0fcCAFWXyNlE4LqIJ3ZbY
HUiWinpZEd2tWbZqHRqTf2Hg9Lv33CO2f7V2FmlfUT5HuK/qkUbrJ+b3Hq72UZpyUjhXm6EUNVHp
s93zLfyVge6vfpsObLZD3sO28GNQ7SYgOEAn8wqPZyphVr9C3fUkuiidXhlOGSJiTMycIzy1G0ez
sB1Ba77rSdz6OyJbGQ9VthukAIVijDWQgZ9QfyDj6+cyrPqSi8DGxfkPvTOm8SchG2nelY2m9Tj1
kRNna8VC8cV24U01p2pbv0tBwUVirRT2u/NyXo+6iYeoFHJJHrq5qVk5YxDuHkPfZw0+Ce9ABrTo
spdGrzOS0plBTuZ92aGSC4L0XD9OTTqffL3lH2eSBofsgO67fglKqcLAG7QAKaxZCPzF8n46Bp/T
UDawU13OO7Eo0Fqx8MI6P0W6cIvz9gNPPG//WmFtkh92GcdtxfzlXi0aC4+Juxpp9mMHaS7sOpIM
5L7u4c/6oJswfRE5FqEizmWJKuIOkId3q/Y+QpYa4ui07djXJ+QBCb93uAL6H96T7oQSIBHfJkic
87akoom7j3qlbQtJ6GRg3VJgk1FS5oiqAdVcBOLcztuke857H++lwYF/kwkdDqru2IijVi/3U4wO
xhP6FYS+5uPG5L1fjfiJTsxXpB4uZbBUYYCAT/CIST+OaVN/h55F31XNgKDY9UY+ORcjM9shMOLP
iudtqfcAwxHQOuK7jhuinmZHrHoy9WIfFq2n/gcMot2faJbWVtsS4TNmG3+XS3YZ7sgcd/uW+XeG
XMJVzT4jVweuyW2F8nw4gqwsWNFr3yA3wKhyhdldvqFfi0ho0d9x/bMHywQOjPml0wPit3mXSMaK
lAKBfkYrXdhHMudz9Eo4QHwABfGxWc8raxqn8FGWEFswuuu+O2wxyXt+6HPWfWhmeMMfErBX5r+2
NZVrGbXoXH2HVgPccA3NbXYY2zSk2Jpd+sl0qEdOYextkfYIoLpYFwMXuyZd2l85HWz6TvzSrmUY
bIJqh2dq3Yp+zVX0reuS+md+SU3u8g0s87fA9B8nlcuQ7oo5QTI7ZHK5E/AEyUvBzPBnojiyRQ7L
jhK2IHF2UCLL/9P8k2THIoT8AH3LOkMpA1P145Zyz7/qJhLgH3eiRmcwEgOUkayGREGFpGTw95RN
0y+lNpIgzmVtP75DqU30ZWpaT+56l4XfKJ2b/cGotP4ztGoXFP7fYU0fh9Zn81tUx4z+SWCZQX+j
tGzRGekb+igmIxE74jaUaZPM/tWImmvwOjBbyhrWxK9dxBi62Ug94gfqISh6FKthabW5PSaHla12
LdSwbJ+giZxkX7QR64coyuyXvObJG7Afbj9NNUhAd9GEwnhTw7YeWJZD0HfvV/0Fay4fxkQC1sZ6
GHBD4ySbzlMrxFxSPQ6+0FEtv4KpuxUzBXlL68yzB7Pp6JUzvz0xsbf5caohvXBQNGynGbYSp0Sr
+JzBkxkxbyT2vRUNDS+6mcAeXlfo/RR0Xmr3yS+QeP0OAREUZzb4rP2K1jDhBVsD1iH1fY+wIEhC
JmQcHPzjPHZv7caQJBK0EpoGWUZPI8jD8j2qDGDw9EDzBn0TD3t1+JRws3enVMf6HfLrvfyY5hNI
4BscGD52eJGCdGuilxJhOzhfGPTGyIuWLc9KovE6b9NU++nYz3XflmnGtf95wbqep1ENw8PG+a7w
P2RkP8ok8+qFNNwjYQsdOea5jqY7QCi5/4BW9HhAmBjHo6G0t1XarioBXA7GsIfJxwgi0Me4x7dA
O6LWdNIotz1Ay2sI7qON2n4tR7ok6j6K1mE/QX5s/x1R2CYVCtaQD80+bTg+dY7lkD4+SJEt5Tw7
f0+mBAln240PQbf0I9DLMxgC0HdEnwNCDSTj9ddoB5z8mIMhE97QZ9pWXEQ2Tn673DQphweO3NEe
sGrR43nEhKL73u6zHUp8KRDec9kiM0fEVOtQtnOtoV8O8SLxBIm0nJfCM72ctymb8xOHBzisUeuV
5V0RUcgeHr0gl0MY9WvTwF1xRsWE4COrfrfCnx1IGaJIp80pHGPMu/4suDvrszYubqoVitoxkJhD
miXvU4YMrVq9MG3Js5WB6+NYkO8dg0xNFUNvvvuq0NDIimFc2vYt3nZEjyaKWHLPeDLQchCpSqsJ
3bC1nMYVra0CJKitqXqQC+OXTM8m/wBDkG4tAlSg9WEJNZ2KkO4ZMhihE/crMnBVKCioHuIDvGxW
fmqD9vwXw4/yXywSVPZIbaJ4mSku01fV+BiiyRpFQdvZYfgYQOCXx7S38RAKCrL9igZmO+4NCnWH
lgM29YakEB7t9QxjbWHrp3aKu/2cZPE2PgmNPm3BNPHQS9et+RNT0rXP6V6PwCXVsRzvlnyN0lfw
JjnDmTJk95j/jEEf4d/ozRFINz2UmKrQ5efoBxvBIHF3+TlSaKd8jdVw+UIMhU+VGKF7kFFRgA3P
C/qHsgS/wtmlgBZLkj7ELKUoLqmLxrsOOIv1p0+DsFXNWO1OHvHaV4ZqLQ+KkHyuUjjSOFnMZgjt
EdWgEg91Bvk1gC/VxR4MbmlT1bed2O5rF/O8BE+kEbSCEkOMA9XVA+bZGIVOzT1bN7IjZ3E6u0OT
YMK0fkZuV6APm8gChNG9r2ZsA3XMtiWZ//COShWhdkgyR+B3CxGTv7QcFPhcEhMyh8t0QJ6YlZEy
4sRSnYbtLJOc5O/QjB7co0dpv2n88C7rM+QgG5leKO/U9iXCrxFR0SaOTMvxomaNgnTN9zV7Xi4V
9EMdTXJD8gW8LASmQt00L2FILIoVsxCGA55J9Kx4iVkLRbUa20GMv7qA6hrYvsCH+I9xazQjGeAU
BdPkwG1c4VYzmXsrpiV/oQgeDVLFvN9/yxbTiO997yd5zJpsjDxWV5MRXszMdB8ypPs4y6ngGT1q
pEbzn1Zn1OeFSwTUmj3Plvxzgv5cB/sX9P/dT2GyRb7raJmi16nBwOfDeilUoVgQcpWWfJ2hawza
nDbq3A6Ye2GTZJocDUfhww7wUVzmBzAAG+rLHTOkCZVuZ3jHq5gylz94jUnSI7LrnD0iLcrsp1H1
0tzzhvjpHC0wZv9O4riOS3bJ2Y7LNERLoXjqo8cphjrVh2ixS4cYBxn6UiAzHg9hGXLz3FkHostA
Y75+3hUgjWUeWwx5OqJGSMyYJnK/cmZ1/Zl4i+A/wt+gX/f7aId9N1JW6Bqqs9cNCcinYHFdJnxz
y12YRkHuDLrs/qQk2+N3dBUpve8kJoGljgcAAA7gE8cmr7A3d/S2Lh216DibNF1KwoY+KnDmnpi2
IcOskUIe4xgngFbPxy5KMO9hI0Y8oVCwWMuLMG+aVqblNLtz2yL2O51tUTxC0i31i0BPr4FX2rSI
pH+kibH2nVqoqv/hTbYMj0hsO35UtF3EJ+8xmqlUk/cN2IkApL1246jYQ92oUX7yORbmIaS5tPfx
AkudpxXvmsLRPOz0tV/40NxvvRHyDYVeV69lvCBbnqt+yge0rTNotHVxueAw66iE9gcLusIckOfi
KAEHvEgY829QMIxtUgoBAczhMGAUZJczEjCDhXW81+YV9/SIxjPAOBilIXcT4RPBsoNcJWgr9zdM
T+rtuOIkH8W+80cU0Sx6SKNaILFjMdTr0ssYL09Pcc+YPsmez/RxVxOY10kaJvfNd4uAaIVcIB1y
dI3eQlsknlGOGWcK0FU823wtGRob9vuwQrL+dYLsgk2PF6nXBD2NjcLcPTe7WPtSDN7LKgzm4ijn
LHumps7GcwYmr7+bR72QqlmDHh9TC50atEhjzFunYPhy7NDET4rIJkl0xIzSdZXKG4GyU89WI0Mi
Q0d+bBwu8g/13vTbR0gyZA6997Y2+28yUtL81HKK1TkmoDqeY3R95yeoBhj3WUGSGrnNSLPtMcki
G/4KM+31YwhNZNHg29K83AXSkQL95QWzlc5agP1mlz0t8WB96QKMQ88Gr9BXy56msgQ2nmFmnmUX
eO2aHwWQzc9qhTPwW+xlY5+M25PxnsP2br98bV6D6yBcgDO85Vn/E22+iFQ9zSNtIdaKeqa0I3b7
cEBmLXFBIpBeynxvtH8RkVlJGaIoMTgs+WxAl9D0soJCo12FTMJQ8WL5qiLIDXS8+71c7sfffIF8
ArjktDnPkwhJESPeqU/EmNTh7DV0mF2hcwtWNVpMMIribdzFFUlpBHgNaeb6OW2580eEUWghrmrs
1j+u3/T2OO18oF/MtrAMxcvcL/ch8H37kvNBry8XDUdyZ4elLgaI3fwf6s5kO3Ijy7a/kkvjgsrQ
A7VKOQDgHfsuyGBMsBhkhKHvDTDg6992papeKiqVWU+zt6SBKNKddHfA7Nq5+5zbR1Sj8iyWd3pm
z6WBeResa+hfjBlOgxsaJTWGd2rjDWmrL1GtXAZXOu70hnG1DyKMRday015XotoNffYAJmFSEc0M
ZX4oIBvZF5mxQXZjOAdp+Ox3IoQ0bwT9rPnQpEPfTlGO38+J2gCOwI7pfQ/qG0KSRLxFsBHTG2rF
lhuRN1G+FpHLKjuhIVYtbo+IkHrOnXuNPZThQI12vOwVh/WqhkgtDLHpD/U8uXkRLz354dShwtOu
mQx2BsqR/Ns4TMTzGm5woFNlT7GACBojI5j6NCYo2f5k82jjcl4y2Z3C7Kz9So7fujuvmU5621rj
sEMt2BSQtZEap39LlRZ6HZ3qSFC31onwilZF25q5tzSsGpV4KebvP0cw/Zgs5K1OU7fNWO1E+Llw
nrz5z8H1PwYKuZU9067hee38IUC0yN0/aaH5MU6oJa0xTHPf37NNCkSkcBbXI6v1+C88vH8QWEXL
4PcMIFKYNUGk0ZkwuP/6rM2ny3oxWjIQx6FDcLLmgrEAfthbd3pEuuWAVRgibg3N5/TPEaozVfSP
aKMfwDJJi0bnxuDvW6aZVkmOqeUaeLCPqddoP9KLC07//Df9EUz1Aws69COXGkzxnkCA3n+c1jZV
SSepc5OFnYl0UuIfKqpSvTb/4h3+A4Tzx3SiAj6M3cRy917ATI6J2Jldj9b8L17QHz37D/RZx0S/
0c9CF3Kk/loO5vMSdOm/wMX/6Ll/wEMp0/u6k6m7Xxn7EWXDespVZf/JJ/+BMJtMc2pa5bl7NOgd
jdQ8Sk2Ux3/+Mf/RX/4DHprqOZ/cMPf2Uhgje/qcRmbG7v/nnv38W//O02GVnQ0dxPtibTXZvFPI
lMmtffznT/4HV6iwf//k3mDWS6cLLpfMD62PEU1piYW3WswVCqy6izoFjX3E5OR2f2o8n/1jTFEW
yMUns8XdMw7VfXH6YbwpTOTVf/6Cfl1c/8Hd/WNIkV+sNrKQdPZ1EGYo0GGzLjRX+Ofbak7es0Pl
zf9pHLPxDnlXPBVb/mRypbnHdMxVxllFZjumM37o2WZ0czT5lGR/++v+/V3/h/zW3v3t7xj/+p98
/d52HPZlNv3w5V+f2pp///P8mP/+md8/4q+Hb+3NW/1t/PGHfvcYnve335u8TW+/+2JHXT6t9+rb
sD58G1U1/fr8/IXnn/zffvMv3359lqe1+/bLT28fdd4kHHqG/H366bdvnT5++cnyQW/+7iM6/4bf
vn1+Cb/89PBWvI1T9tb8g0d94zu//OQHP1u+54cOS6Ib/mr4X76dv+GFP6O9+pbnkt2J6ng2HjWM
Pc1++ckWP5smEb9BCBYlrF89SWOrzt+y7J+F47jhGWgTgSnwLf7Xy//dB/R/P7C/NKq+a/NmGn/5
Cczqd9uF78CQh77wAp8Jg2Q1/DhpohWdNhpjGveC9u85dkgjq1iVC6vBEdo7NQiK6MF6Hr1DWBSw
Pz1JMU1SGyUI7YD2HNWWDC4tUtKQUbR95fVhmcf1yqk3RlXpNs62btPHhaotdRXWeq/8wp4h13yU
mnWwUYGI393worjGEqvcSWFclmFI8rrxTlk4dsNOKQbRHry1KF+3XOslMW0cybuAUzPIaFsTtyea
VF5psLSv7Ho4W/xwOeg5DO62khMlyd3GrmbQJTmnZbvrGOv2MNP5e5/hrd5WFLz6EzN1va91OTWf
LSXlEK8WbZuodtMs20tnlB+z8IuXKqg5afTCmoGaFr9E2ptr/TgKoRgn7A7WlfB79bquHdb9bdWv
dgCCGC2N6G5ygAKR1I1ZzJHXTBu0qGVlIqkmA33eKySj4OaanHISQEzOApIi+bYeTGih1VTha4ei
Kd8E2Z5FlLck9OxoiylKDmcYbjzHdAEmYSGiaclMZLOwMS7G0a4mnnRWW2LA8NmXwbyOxOU1bWue
WrMZYmdq1ItSU1FF1jSNvICycrpI6KHe90VTfKUbUl5tkIJ3GFacj8w09Se6dXQzkAHP099131x0
5UbnAOVY71IGFTzXIzlT8xa0dLJd5UvI4b6lz7Up9zlTcnrumZ0kk34L8zDqma/7YHqy6Hf8Bfp5
Xqbqrun67L4E4hr29LTDY5YzxQ0YR34upPZdxBo394Mkb5S2k8BX2wtHnHm48FgXkXdzbZh7ZYBf
Hg1nLt7ccUZ7BzOT9qXpdwwgdwdB4OFqooXXQognguCKYUfe3MpoS7JF57hrxymNptVXOKTWYHxW
nudvsaoW/Vqg0VwxgJSQ7jykrbWbp7QGiw8Bv+Ox9FBvzSFv7MPCmOb+kC7Fuf3dw1AkAgHoABCi
rsbase7VuASfyoJ8n7DM+K1Ggx4ah6jdd2kx2dUDynUb0bGyj3nv2Xdmtk2XehZMKarGxq0j0wya
1wZo5NJnFzISsx289w6lMDGbOjD2yGnTRZ6uHoiPtuGO3WbZhU3rvYayMIOoNnOzj1tlyC6h2Rku
FKiEK5CeNJwCNIZi3w4ZEHEr1BQvG9PdoDkm+eAQW68oeIvws1jy/gV7Q/DVmwPn0l/mqeGoxpOT
k1/GThu8qDkPqhjhnLCJyXTefDf3xK10ZOvt6mqBtwXLUrd9s6EAMibFuRhmB55n4yhd7O2hU5/d
Nhu/ZoVEOapgo6rDwDpQ7K1yU/axXC2OitKDdY5SMdsqSr3Szy77Ti5u3OY+yVQZwWIzDFDYZbFG
ehO7vKQPH1FOLtdw146ZIHEOEySPyQzpNgXoARue1gAynVyLqOOCBbwy8reSQ1x6tMKs+lh7Ze6L
UNpXDXc4AdlizN4Hz2Nkn9+5By3ERhtIeXlkpbbzPqgaxHb1PedSb0h+N1K18xdj4wxfNM4YmwCQ
V4FZyE9cUWhedchV2Qxbu2czWV9LtVY3vQzEEg+kX/ockqV1cCkGw53rz+/F4OiDL4nRXrO1ph2p
S52owqTxygF89q5k5W2PLDZu/VSGQfoWFEZwY0kuiL3n94insis/5ytRXvQSGSGJalQbL73Q6qac
Q/FdLRkn1qCgjIp6Mid8oqnllRBW+zHZfWiztueWOAQmq+MzilwB0SFq29hjEV79gwPTMuwWxxVj
PDWbbV0P/jodfcqnpyA1aQ6Zi1qjWnGnOOSeNLuR9vSl7eZf5GTWR7vKKWCsTr1VWnWPamG8ARqS
iFy0xEdUmAZLvMMU8xgm2y8jGVYWDYttfnNDbXvHXNvNXViCCeGpWueT2Uzuya/67fME3d7tzHYJ
dmZHhuVxSCcnfxROrV1+Ns2f+xFZM1JZUO1DtvtTqS0ag6WDbSKyFhpHKu3825bK68u5XXVnrWa7
t3utniupg/yuzqaaBcWSrhfZaJFfCrqSR6RGbcdq6fIPT3lZnOVDGyAQ96HGHUHD+0kaav6uoc7r
xK3r/os7OLQEp3Gk5ZMWUsWOUbcTpF7qzqBFPu195ori9JjXADxnS+8QPzax8/NUzkmA/FsyBs/0
XkZ6rGzcuJHEBnpr1SHt1zCFVgl9jXhogWOpOaPoU1nU4ZXYdSmDC9NyUq8cBJc0knC3WeSgbVUg
b8o2CMHwm6vzMIPbqfceVOXrBEL9pZUzN6akzQ2RGmATcdPL3B4gYfTofOisECeZhQFAW9fH09yt
ibPmX0oKuSjt/W+uzr9O0jEOZl61ELuyVrEac+x8rtTOy1Si8+/ajpWYlNCRmURW6yz2yYEdRi9z
+qI7YUrPsJMY8GMxY0PcOZHVavex9Cu17fUQDDrSWfDRtn2bgcpO5nPWBcYWdYLwy+NSVoG+2bh8
PujkgJksM6WOk1X1lDAEsL1ywLfQQkVxLOH6dtZMlpfKqvlS6SlIfG6IMansvDjhYBC7jP7oQ+ma
1d6d0ypJyad7r6EGvgd5Or1WAZOy9baOX42eFnC5eU6eLIAaNJnc1Luhh+VFTbg05o7JK1uB7teU
HixMaxifnCyvQBrw7bRxUKq+SegBzttNH6BV7IizxjtSd0W2kowHl7KbB6kZI2LYN705bxC2msjV
XWsq+7PlZ2VxCuFfvgV9akU18C3XTtBVp7oeQztmRWBKHuRncLttFS2BrRnC62XrwisxWesaTyYH
kLob7Qt3GIwySuds+tpZE8cj4Nz1i7CIpUU+newwVkawsVrIlGyCxjPrPJqEog6VXrUd6tVNdVLy
Ll+bgHr4h0rb9yJyDy/Kekjjzmox6rWeNT5TRG3QIKFpvY/9OnxWNIcuqtoNsqSxApg3NiV9I4eQ
pksVDsKIfdNFc4aOLG6Vb2ZZBGY3JZ0H35GY5TR4V7PEJ4WJNChYzoS1X+C72f02v6/YVgW/z6rq
7dqtuE1jHQYBHZbKu1/CrX0mrcf3YzfI21Ng+D6+jl4Vx8bMaBoVsAHkTVrDulM5T3mVt/6a3w5m
Kq91AfoV29ZI/eKF/b3V1d4Dg0SZd5iCYw+RnDe7Y620uE5ovfKa7UqJ/TwWyUA/IJmnDHKdXMfh
3qXRdKlS3h7MC+aWRSzjLlQMVTFLBt3aQy6ast8FmRPUL9It2m/WUFv5A4gzy4VcztVRkXVbRwb1
VL1RKKQP66xXZt133SjIcZ3WjdsmlPWurHO/oUNTAE+wQK8TnpFsei6xtc/sy2K6Ve2aXjZqnokK
rYZvtXLNhwXcfUzMLqzuMyZefrJ6ET5bYNgHi8k135Q9i0+w5cslsJ/xuoqUmT0p+PT90hbqlfWX
csFhrKUT18FYHOrGWddoqUVwIuhmfWnztdrooJjVi+eIbkrOmEbNIgDxf2hpBwFRwm+OsSRruKJS
FiWwjVFRxYw5yvExoPqnZT7DwrRzZp/y0fKqfS9K0EUvY3eLHCYRrYfUzmR+sU1eeekqZ+1PyjGB
FPOiIgFUhVX4fW7m+n0cCJRGbme4yW7kLPXsFCtBC1624Hw7CIREI+bqzZwLGlDDzJpVdMXexfc3
04Rs2tB4a4fRP67wh0GbhGQyFaesKdAC423muMPwHkLgPvd6MYMHt6UuOUCdWfB8JUFXPsSLenMb
HY0rc+L2C5aZaNIV3i/LaSHQmJt0srmfuDA3I6ivMm8Cpla2M9s3WycpWG3MZsBE7pNgv9kuynRN
72lt9NUdHPfG4LYS+5l1VTmekTKedlEVUTiS8BeBKm7Hdj3PnFSqxh1WaIas7/vrbGspjzo8PvhN
za52bqYCtv3CNcc5uw0WX3m35KKly7EY8ynRs9vcw6H0xlXgUpM8rZWwtgPBfa69H/WW5SfXLPLi
c04jtj7ShFrXfVeCfHzBUyDewrwovahbAeG+MFK4SSNfS9OnSJrsVPK5L9ZAIuM4UmYOus9jWmU4
hBO5WuILqsw4xcM0LDAnaWclae6u4RXbd78cy8BUFw4d7WFnQT4cCTQqD5OcqCWs1NOPWcPMh9Oa
e4XYZ0NnB+g3ShbXrQOWFW+12U67qbTGfW9kM6YguXgHIgrC9MIeWg1aXwAaxkxs89OLpldrbzHS
zhJrxM5Qlzvwjmp81SXldtfrtb6ubJjQGNuUu9FpXqagu2hEs4bHFFFpjSaXHONnNilvPDl6aihz
xLJczYsd0PTIc2ZXfQIKoV9lcg+39zTHiOH1OoJeQV9yjnbQgXdFH4avULOuE4EVdbgMeDnYnYd8
3Y6mDPz5MjOcrQKod30n2gx/2vvW0DOBPmAGdV6Xr2FhpFTkZifvsrJjT3TS7oth6zCLKrFhK5EP
cONCJUNejlw84VJhqrPnAv7d67IkT+mrW1PNNtVkRvp9y6n1TqZfcDJCYpizaKqy9X2Vg22fxsWU
FKxiHi/6flaPMBFeDNJts/+7a32a7d5waLRUDwqik+xa/GSXUnPHUrWkNHlTAEMPmEbOX0c/UBXV
ewAZ3MLj+dHKUbg65uMgvXhEwHsepS35PIINVqXKpXmLF7OyrsnhmmXCo2F6HKZuGUnPbNEmavGm
mDFQvD5o2fgfPUs/QCJ+wE+j6XBiKmkMv9WG15wM5i/gjPFp3HXVqOKp3kwvqqQ7VMlWu/atW0n7
oc9b5ywQ1qeCeX/bV9vk7fAWb7jkupyeeOfDowNUyuNb32zxr4ynTjT6TY5CPq9rPmEZkxMpzIVp
Xcy2ibsV6dGMVWBWr7KcfYZbD6Bqsd+aUMHL7HYiaXqiRm9CpXrWJTuow73BC3vuZRle0mhb8biU
LdpSE6QLqXsc9pNxSLE10EbLMCLkjENLFhWkrNg9/OWvkt1v+uHvZLH/1iT/hG55nb/jd22/T/8f
CJcOOjbdgH//L23wfwiX12/Z2/A2ZtPw9vfS5W+P+5t0GYifQ2GFQuCaIjaLO/+nv/xNu/Stnz3X
NIUwsV6H8FX8rt+0S8v6WSBaekFgW+S6O+c0v9+0S9P92TNdtEuPhcazwTb+X7RLtM4fxctfVVPf
xOCLcGk6P0a2Mts80BgP9I6FxpqP3tlAcFYqcRRlzndZMkSE28AP7USH8zZEgZx7rIxSmJeh4Rv5
LsCWHpXN6Lafa2x74c2sxPknmtF6t3vPFEm+2SdfOwBHdO3JzK18OWRMZiuq7t7FmvhiOG4uH8WK
QeyesOlqBIcmYjdm3sUyA4B6KQBIdZYzqZxCaCKG7JUwnqwd+GksINPQqrn0OW2Xfty6jbxrJml+
Z9Cegx+A0Y1xX6rw1LPBPVhlZlg3qmRvT3AcOzgdEG7KW2TW5YoUTIzxbiVGXsCwXEyTwKk7uO2c
3qSMmmR/DUAkcaxZn4F5VvOwGBzpo963zr3qFKxGY6PhdtODU1yxx5tj3ARjVsdWqeWQtPPoMKRC
FhleLcw6+wE1WyS0VZDEKA7z4hZThCBiWFufPAwSV4awV7nfgEaqo0GLpLwAnuUc6UlsGpHnU4NF
KwTsSPZB4Nxbk1mucSccBSHpZslUBDICM7JufRJcr6j5M3wcsnsdTePdBaooUKbLVgFTnCMKcdVM
Ef2wIAqdKn/h2WhezXK4S0EY2pNbdQAFG2clwpuEdB5K4lvldSPTJY1JeMa2iaXWHk/Nuhl6v7Qe
KiuVqrtdO7C0xoX0zc6LxbI5xhHGongZgm1RB0V/b75OB72Gscs2aSUBrcq7RmtzicEex+YKcpfE
BswuKFPt3JlHd8LVGI9rjhdEOGXWXZa6zvHleLaiHm6W5mjpYJrQuVur3ckNYTaZZptqdrSzPN2v
ZTlDt6ztuO7wz1jmLiOV0YocoJ2nkVmW1bHQtvO1g1z5VMNJxp4cho92TE19wVWHXUTU6QpqP0yT
TlyzxbQ6CHWS1TghKG/+NsTCIBcaMiH1LopC2F+70FT6mJkYNHeZluOcYD/hE1uZcXEBd9nNUU6g
6RV9lux+yP07nxPpp3FkGlU8pb1xkqQHY9tafBGN+HFegqYwHwyVjV+2cPUuQ7c8zq2FvI4vK7Ae
0wFjA9mDVDVPQGkc9UxRtn2sRLc+oqxuH2R9bdezi7smxpicmbeDkj4Wq7YEEbGarZuPm5D1dViE
w3TUTsvcOlHM9euEuHIbFr7oE1hOeKwUda+NSdh1nvoV8i8SVs3028AIyPsry8blcM94DRrduHyA
FQ1pXio4E2pnWTvXQ2dSri5Zu1Ykc9T5F062lt6B/HC1m9IAkesAyJK2z4AtA5E+GxtO+c0n/6LW
bfMBGga7B628l6mjX8KZ264fi8A/mGChr2slz/rL2UosWxfN3qnby4ai+2mkcqcwWhF78gpANHcc
+27AOjOczzLFUc0tGmBu4sliF7XqY49m+Mmsy/ES6lx+cUsrC3fbREDyfalzHyzSzub0AHK87JUl
s6/w7v0aFWRtzRHJAed+Q9U/od3aJ735DhVL1ZxFHW8htTn1veqjc7OBInVDHcBrsz0rUzbv/dzO
If5OW8sD3fagS+rSl7FfLfPOmeVyQ/aGwag1yy6iWbbV8tgRgP5rjIR2Etz/NHmGsO5hlq20u5gx
8KuDXsExaB2LrkhK2/HKeEu5VmOGp48vzIPzb5vZauPQz40vhAf4zaegGA2RLEzVw9BYhiKBQmU6
i882GLzXxmpTl232AYaRyzN7gQISXydV4QC12mLn5OWwD1XWJ9kYeAZLeG0nrUmBgmkh74+eM7rc
oyHTMThc4jXvQZuaJ8p124lNhzbX7PTpQ70a4kmuJe+oZy3+vGvwwy67yimKe6FSCmMlLCqzALTR
uERmL968GTj7KJmEWV47drrFgWTJAbi1611ngfoxW2ZQd2leSjBVlrlkltqcWC9yZuUwZZYrEXc0
UBiemeVTuG79xnpl5mk08s7nu61zvPtKQwnG1drUfUxKZ9cl3jrzh1huhmuAeblsAJsPVZx1ILJx
ZlBBnPLAcrAq1Lm3a1jNQnDQXF+WUy6OXMybQYloypPWbZfHaBTheLQMmlz7qXdDtM8C1VOH/Uuj
hvbemKeccrDPt/fSgTmOWt8lI0UX6nzArZnZHc+qAPpunLI8jm6FBEPm+TkA1dssJwpAue5SeiER
6F1d3I0lPbgdbUb7jcGebHRB03BGbIPxmubngr+k1OUIaczSGjL2OoxmX9Y32mvzBzvI5udlbcOL
cpWhDd5jbA8FasISyQBG8roMt/UJWTVgcEJB/yvC0NV3R+2p4Ju/OOuxtqV5gw8WVr41FtpfxK8s
fdTAeSH5zJydzVxn6a2zFno9Oqrowrs18OY5MmDfrw17CF89d3XvC4tscbvINaxE/aDqMMf0vE1Z
kjZmzpAILAEIu8axyCsRBUp/LboKvLA7y2NiLG0E45rmi7S24GXKlf197AA6Mke39DE23BZtP5cn
oTkzscYAETKR7pGznjqrE0CxK8OL4lkjBhl941+YvS+sw2w3Hm5rL0uqqqA1AumfcwwGGlUbojtK
TAYG3bvMn/NT6OF+S4dISMt7cCqjLr9Ahssrby6X2Guz7ahrAbTbhecDZbfYZnx20B4KiRwfBaY1
MeVZLpdGtkjaWJxfd42fr/6Ow71/M/fG8D5XjvzAopO9ZuP6ZJhsrNiupJPDYg/tPtedk5D9IjZK
Dx+L/sBaNFB5bdZ8cprJ+8pBuxMHs6ksjLBFcTKdFeVpSIN7B04FRDU3nyrP7r64JnLvjU2L8Du9
9WahNiit+tabMk5bWbEY3t61aDZba9BBcZpLy/HfKfVXSZvlYyGZa37GXdPkB68124/etcVwv6SW
759jcf3wwqlh76/y0ORtlDKkHeIQJvxhS2QWyhs8NKdUoKqwO5cWPLTZ1uFF09jzYy8g7BOOvPXj
Eo6tfWq1V28P2Dcf5hEoFhG2n9fIDpf1fvVtkrztLbs2oceOaBejiDM9TIchY8uamMTX4SjJdBtb
fcptQiFO6MU2ZCdUnOCiKYz8mIaLfQu0gLJe44zcTVqrGE9UtQsFk9OjkhrkY3Bs/clt/GzHFFMr
8TFiUkW3wbNhNCkS3SqC6RTQB2loxmMHP7DQhk9rXjgfau5ROKUzNLe0QPtnpYkkKGziOy7scq2u
Rqv1q5hkE/PFErhhPGq1m3Fy5SGsZon0UA9efXBrz4FZtLQd6bWjwWCTCfbOBonw7ntBydxWw36Z
0vHNGvqU5uBcIRVKQCXsEH3/YuZuZxB7lfkYwEkrXGIjXxuOsEo+YSkImHXk4fcV1IuPS19pN+BK
7q3PG52oOOwx87xPzDGn6eKwGqcc4qnJ30z6f7Fas8eitMyTYdms/OhDdnjR29Ah9GSQ469KsyrX
fV0RGXCTt7NN9NBi+EVkOMrOj1ZHT2rPf6E3CPYSglpNsI193qtuP5Idri/VFkx0t+kVx4y/sR6R
vMw8IZFDklRSdg/DiqbCtb8dt3kjeaYM2OaTZlPqLsfXEdN57i6ZomDvLYOqIK+cb4531pHpomPf
GYLCPY3FuGYvoLu4GUOro3lad9hwEWYEBmgCzu6cRSeM0uwirVS+671MX4g6bHcogbhMRgy/iiby
Xo0biSNZ5Q9hZGeue9PrcHpYmO3C4Gor/9zx3p6aRg9lzOy8Ep+ZERpeQihLnu+El9l0m2fDeM0m
0mIuCqPDgK/s2v+02LOHFlE4JjkZw9y+0632GbPNRnsjnfPhrPXPEWcjw7cf81Wn1b7Nw4KP0N1e
8RItX3BWpF5S4L02SaSosek5djceHHvQX3pLToLjWOnc5pkNTGDWrLAFmWB7yODsIrVb/a1O+3XP
PPfqhLq/5cc5bJ1rDg1BSggIUbhF29mMnOc4k1BkwIfghwY92Eqtv2hrTbvIggG2+BRTWuY0rWNC
x2iY+KVdFjtuZoTphcS4r9y+3tWIWRTokHZyTtnRyCMkS9Ulc1btF9FjD8fEVd9agmJolzI02sQ2
k5GSx4lYAOfnRsGpiuONF3PIRVJ1SuuLO7GBxdukOL/i7XUkXumKpIQUP+76aUiRpY4GnZxin5OI
8cH4Kfc0Z8p8rRlJm4yZOxzLjmV+s2xkVXf1WGsIR9kNDc43+jOyiMhNIbhs1QqepLa88Ytj9Omt
9Gf34JlD9jyAEQTor11W7tOCDss2TC3yXWulIhnD1EvpMjbeLqh1SKtmkUw7J2CBugZXmb4NOuTO
GFNB+JGHdvBoj/ITns+hitzCCyNisoF+uo2Wlp/TxC5FcLGOpOUAWTYnrOzdnT/3Iuno75NxtLpV
tWMk1vgwEL4X0c70yVpo8vG9mJDL96EVTsPRnzBNcmSfPrppm2/1UBBXUluC7rTbSnnuYSFFO9MC
C8Tn8J2+xPYwZ2zwVKPelaMy7542EQa+LF2uiT24hG9yJyxmgHr4gGfmRnrvI1zBHRq2H+VWs1yS
o/aY00E5jEVFxTt79su2ZR9cbpr3OHcjgISPipCI05jadVLlAe93QYWsTe/GqY3uonZH/qC57e4w
xrCBToP8Qk3ByD4WP+/RKd+E5brElKcuhX5jJwBQzc50WvdUwjs9MiZPHAi5g7sMs6RtR5vmLTKm
qgzzmIrBIYerPG5NQDCRp8oiITK42Rf1YD8Oprle+lsgzjar5hLf+fKmBpgqJy3rmmyIVegj0SpE
grBILu+b8sA7mhKOZUzd4GIqe4ouhNKiiufF6N/c0gvW3eZheVmVPRzBwumc0pY7FEW3HLt05bg/
d+Ud9v31xnMdF0BoqcgZApkMo2CZtm9rMeIGKKkgY6aEBE8ov3RcrQ5GY2wczsRVEC9dKRKLSv5b
ZejhMJwDc9lMPvf4ecxoa111PXosohOQfhGDwbrpoW5DeWSq3aGvgvLQEKwTmXaH+FF63fSJcrdH
oFjHLta/njl0Bzc1uuX3wM5COpLt9rCsxfZqVtJ7aFqCFLGTMiazt5x1jBocBHHuslyi3BzcFueW
JbsDBjzvVpFnxwvSpDhZLp6Yg0UG1t5WbUpPfHKv5orzqfKd/vMyiEsyiwhpEq7vPmAsn459Peh7
bOYIRyKrg7hsys99ZYvPqai7pFJAaYtNdo7TrNa+c8/y2cgUBChVKLzVvct614NYyfOLTlgR+XHq
aGv/hhlbSwy/4VyurmVSSIVbwryDftdYE6r5MOdXwyiN3cxmvPdCQXnHdPorFqpixy0TvDRGT3Sr
HKDfG5ter2VKukLAbzQ4Z/2El2LcM0l64voIlXsbSMDISBYeiXmVARilhjVq7abar5PsLzYcfNal
Notu2qGm/R/2zms3cmzN0q8yL8DCptskbxnB8Ap5k3lDKJUSvTeb5NP3x6w6NVWF6T5oDDDAAH1z
UMBJSWFI7t+s9a3jHMbdNy11xZMNrV+jV1m654XlPT72zHxtiHnZO0Um+FYXcagl339bRn3gdHka
nVjFUYaoWG1H27apc5bM+TGV+bvUeCNTpTMv6JfiExN4uOf5UD00rPsoh0LtmpsoHKxQkXHGwTro
RcnqMq6JQMd3BdZteoir3LnWNn5Qv6cd6H0vpr1BCGAnZ+Dz5dERrfspevMOZ7vadJO2UJCF8520
ZhlMWj9vdPYI/jo4ATBHPvWU9kc5sULx52qRL9Io7G82GCUUTpwk0ZCcnaav9zP9RgBCqkyu4WTP
P5YkN5+zbBJfqh00+gHPvhuwo6fSXvprrc2ZuonHOqam1uID0pGPxtaNLtDMbjpQes9fsZsWd1ln
G4dmHJugFQWiYAH23xrmcje6WIn8mcw6KqnFjgzKYYdlcJYmi9q4NC33WL8QI9js2P8Fxf9/tjH4
mzr6/yM9tGnINRHpP18rPL0XSf6/ru8/h79uFf74sT+3CuSVoDU2mPF4rrUS9P/YKsjfDJ2Fg5RI
m//QSv+xVdDN3yxPsIoQpicdA2Tfn1sF9zfBBICfsizHoTJmF/GvrcffVj//Z0X0Gg7wvwX2jsUy
wHA9/sfmrxnC+IeNpqXsHiQc2oBt8Z0eMlDPtOZ7YZnRpqXO0vrsZLFUPkAzjX+Xz/9NPf9XMTYb
kH/88XXJIm3P4DNhasUb/btvAb2qSBXbu0DPteUQ9nLF78HHaKdu8oEhsdfIU+PCJjZm6iySS8+O
7YMNbhQAOYsZyvZWt6ZvLtN1BEXiA+2yzwgHJxSfiXlqWlaKSdt5NyZg0C2PubGCULNEM4cxI9C2
du5R89gZwCKXTl7KJxPBJCwRg18IJqVmN6D0WyjNFBSD7G5QxEDTSLKezUW/7NbeuGcF0ZlXh7nP
k84UbvYJD17u2xkZgOF22pOzWNNGupV3uzL5fMcxrZsoW5W4mjY/p0ljBTCZc19PwfLFuQQuNwv7
7CE93K+1y3EBu2VuplaDbow6ScsOltMYl9UDjoFTSwZ11Dj8zXODPIQnLFa/fZQgjWmp3tnMxLP7
3Q2t1ER9XRsPKELhheItp9iCnNIxMZsP85h2lz5qNURfTVzcM8gZqd5n8Q2BZsfw3NbKeSNQOFCC
G0q9qSiK8de7qngE+vGK2dYOcIAyczP6s1taZ4+q4RClbXcYW5cHYaN9l4MAFTGAL+GwnAAGYNc2
/CxLearKFN3tYSmm6TqgOeXLyrLz6E7FPo8liaO03xB/Gre6lLgYjnE+IYwcY/UUwfLaI+CLtkmL
qK3rEL4vA183RGTxnpdSBLKsu5CZaDHtM827LZj0XhDtR7uMju3G1NDCGASSU/4gC3C0zj3ofZcG
HneODX1l0C9zouIaXXfhYJ4kN3dXazlfP5RGhqO1deREhcWsGcx7mZxsZT90rzLS3VfszuIGdgLX
dAQ/Q29McEpc531EYhZiH+vGnFvvaWT8BoRv6Lec00SziKlD9+jVyHsbiiO+we7JMQh19m0Km0c3
6jydA5WlZQWgSyOZgD0BCL4O+cb31AXotavBwAk+YgEpnqCxhLtFVwAnrGV1IJnKsMiTSJLl6paO
+aO0wv5BmCWzKAfoKQgfd35UZuh8LpHRPjqq8557tPKND3hP+54mxnRJhsJ6IsVT6NupmhrnaoGu
YvY+jVWLus8O1U7XtGbPujVl4caILWLv3UTVsc8i9aOep2Twx9QwLmmrt/p31+1mNgQgqDwbLCX3
tUx/dFOb36kizbaMHvKnLjHsQ1k1R0xONvIk9bWsIh4KM0UbZ5pfaEHrn8nUpYc5spMbdonxkX4p
YwZRI92PGnO8So8FlLATNvUDI+NnqQzvIw3N8KhVEtuAjbKg7JSia+oK+5CJhmy8RO+6m4V+LJjN
sn0loaAJ8kHpVxDT9nu4jOVuANT7ZUhdDxQbrYdSG93HSnn6O55seacPy7APYwzB8+R2z8jDyJIf
O3HpyZp7g2XavFSpaT5jk7eOcacYDaIMCLd2tk4MhyFT+xq/KHb1EjrvJoEM3H4gDS6jc2y2UUcv
k7vWs1EllaJP68O3dgn3IQqrrzA0pXOwZjEsgc5wdjnQ2S+MXpJ0Dtj7AYSJqR08hDLuNh3aScDR
blAz2dMsWV1pXrud0jF550qbZr8M45kHkuPhl9YSnsa0pm20ASiMbt2p8QRvTXMoqLQax7v09Vyc
FnPWEfZYGeonVzPcY9i4+ncbWhdC3WU8NsIJXzuT2eM21ehfQAKqRCPIZuS2GRNg8EhxEF6HvQd0
Z7bVy5ACgzyGiJWA4DKMvl+Z+mjJWeYEISvZ9xKv9rVv4844Uax7wajN32YFmHU7R3ww4Pq0xxJE
3ycTXDA4SxUHyjGAfYthANQ9j3PfsA0oyjcufpjuxQKeYoOO0jP3WdjTPQ12gwq7odNUm4KysNsM
PZFxvqVq/dtUj+aqRsx0YlsEIAM5NP03rVQQsxxmca+FVYu3JmGELJrF+EiG3oDRs3hbr1/aHaPE
7lZN0vvZmUt1FQyF0r1p94J1vVxYh+TQ+/dzhBxswz9LzgjTUehGtWM+hTPRFmh4uOn9Ck4AermW
F1BkCwTtIl4QMSs9ZVQSZWmh4cDP6ppnpsXzArgXQfJVxlCSoYI9sAuXJlhGF9mkti8Q12m+sZ47
rmlXLxw9IbNydL3DpprG+jlL+uWctSl8eS0sNyp1e4jD+XRp6pADD8m95zOJ6U/sxuDV5bGp9Zui
Kso7lD4DTSa3Q60hDGAxbt+B5ozjwCscE1jsKK8ogNpNhOrgUswtmkg0nefCa9Q+zhCS+nQ1ablx
pcUM2avN+EHTPR28vFg6dpCjEuuNTv+y9K0RRMJzf6bQGiLmkYBmiDfzuq+WuSyq3gwBsugnbYcI
iErIQ0z7VlijtXVF1d9rWbU3ezndxUr3HlhwRC86+EW/MmZnE7JULvw6NijcS0hDODLbSxdHMYiC
jtvWkJr1nLN9+BjZhnPPJC2QNhHB8ieHHWAdoDLhm3TjN+4Sw4grAzpADuShYfAmqpoKwoifxilV
13Gp+eHYarIrzHMdt1JuXi2mGaOvkHs8TEgifHTG4gyaPViKovDHCmEX8jpfqxZ9Q022gzxZbilg
Pxgi2luUUbcsfwQIBoZvVlrz9/hBKPOwN099par9kkki0us63lnAh1ZfROnesQlm9iQ7tnPbzLAM
9j+yrs5rQN0bp5xCIMZFRR1EIfRVMOm50t5P+RHO7fIgYY8ibjYh6qCd5QUdSbOzWt/ILCaMYAw+
cTO4/R7mTv8xuLiKd0W/bunGtq4PDpa2S8a6lJYa9GW9SQuHNUaOTrIja6AI1bFMJIhyllBUa1kx
lJgm5oZ1cL8MG5YoQOOdyOY8rIdkeO3tzngFZZAHTuSyBVlLFWjmcsB4JFw4XkHaCPmx1JlzbzEE
e9EXSsoNmQfZKXLN2tz0BtVX0Haiem6iopsCXY3cTwWxOXdNVy/XTLTjgewL63cBmoAtCE5Mum9T
l7ViM+FkrbaZK6f6GE7EQPCiJa8EoN4ASx17RwKgLWs/vQwQ7I4RdmFyoqfzo814BW8CkBJrU86p
sA9iqtrLoHlxF8xRVV3itKi/elQ9POKBF43r94KlJiQMHSmftHiIJaOyu0vbqFzdloUlQUVixwCT
gXh1CaxIm5lOisktt2mk863XrFZhE2ZekrOTrnt7Z8PveBzbEBEJy11MR+loGOPJkw20EF3PKDqq
3DsNo5O7lD1iogKWoYAzZGWnGmJnR7VmuE/1ooxXuBwS+bKXjifdas1zoQMtX3joAFbnUfGM8XAs
zwCB4oY1nmoU8x3spFsXlxolKyO2M9th7d3VQJWx/YaAhmGJMipQRtklDILcbtz1QjJ45jvx2hMY
1fA1z0d46zPzwsvCaN092iQQHPOqHRCvNtqn0NMQ/a+OsEdwqhznCe3fpnLj9A3Hl4jpErT+lW+7
vrH0hancUpj90eZhjkU5N86LheXSI93vUhAikLBkWRWBvPVg5kUMeLas6VqPdh5vnTgKO+Dm3Qx4
wGvsp14YmLz+TT/2D5yDY9FlekKXDhFyNqB06x8OeHbI7P0ToC6hLnIsG9GPMikf0aW+mV7xSPYF
B6sTI1Xsku8diqr7v3TOf7Smf+0H/268//3PSyFci+pOWEL8wyKfhZ1RZEpj6BR2jU8gX3nhw8//
TSD8r472rx3v+i49Y+04BX+HqIO/N51ztzBaXciCGyM8KsPIGG3jaKbmHqyYKIZNNtaF4Rsew/yS
48nYGqy3sBxiS3rTYbMcZ60cLrIu+gdQ+t7N+pFtJLbmq6bq+Q1/a00iJMLqzcC52N+x7an+yIL+
n3nMv/Gn69JYs4z+83nM+b0t8axn738dx/zxU3/6023bkK7w5HoVGH8ReVq/cRLZwubKQCkIIeZP
kafu/mbZhAMLEE+6s3bof45jdP0328Hi4fH/WPwH0eL/F+MYaQPjA2BuojKVLivPv1+csrO1GjhE
HwDuAmc330JD/cLsuhvpYLSwvx+r7Kux+n+Xouc6/7z7OHjxxtNXCUIKeC+r9vQvgIoo5skkl3wI
ZOi1n4T3IIdn7kD+jI1j4WiIhcM5Qf9KQvJ6Zk+/ju98PcnpjOovy/Y43rM11IitBKd+5c7VOf1V
CjQJJKgtfncOC9HN7p2VN9DKBzHGO9MOjU3cmtQVcnROWtQjYoRJv+CfpgLJ11qE+dStwsS5lZQp
6VqvDBnheR6SiX6tZZymfJjX6qbnqJGaIc5sFIRvsXZ6MH+VQxM7DZJY1hop0rOr02kUTsNaQ4G6
fYo8l79H1dzt8UsW97NdBVmdXlIz7W6ymo9i8hZ9YeUjKNOSXyWbWqu3Yq3jzLWi638Vd2w8olse
Cu3FXms/nUWRb8AopiBca0PG+Slc+zR6SdbKUdoj3vGFuTKgpb2ujOEeaLO1DddyE+gllWfWWhr5
GGs9ao6ae6tgUX2Fk0G9ihuG2jVKe+9nX6vOCEhA0VgCeOIZbxYVb0QqjdyGayHcwYLOfcxBGae4
wVCGXmBWe1e48dkASHBWjHcuiJpaLDe2vE5JYd2CmkziAL2jfdesJblci/OkQ+ww1FN5N0UKGyZM
HDSey1rSS6eguq/XQr+yhukyrsU/foRyk64NASrh5cxsoH5uSszrm6butGjrrG2EgQ4VwjuKBBa7
a58xuCyK7yJoninlbVYwKpoHWuGxbIqN1dUeDn+Chw4cJ9R7VSyWF4DiDPyhGkd9jwwFfYdf5+58
y79DgGRgG/y0NcdGrTuMZTAiSL1DwNfpGwHX394MrQTJrhM1gM4JmYlbVum4j0aBjrUDWbG3Ygci
VRXV9os9MxsMlnSW4VaOGGhC3I6uT2gKi1fGD/MxLCj28ZjZ9c0wxP33pjS4kLJGvEWiij/D3qk/
+GSShy4rvVvi1FkzNTMqtCBh9flG48AcJhmYUBlpadI6Cn28k8bAX1mMWD+gnfb6Df2w9V3VVneS
SyqnTWiNeegnYxqX29jU5wAkkbFLu3x+NKrFfCh1FzmoQlm0bNNihUrCrZs+moJ1kp9Gqr4fQ937
3rlV/NomfHqB5bbVjZfnGfxaL5IvIzs73xkGfYKQRouNBbd7Rl6HH8UoW/neJCly8trRGLforbTZ
4qUUmo3e6J8a1tXHuK+Ll9FOw3sMwM4bWE4UgbGZ41QxFCKCiNoPv6c+ZiBXcfo/VpLxKHWPRILW
RHXhh8QUdNuO8YK5S2K3p+lo2a5u5eQYfhRjUw1iYbh7PR6p5+Jo0UkmccUBQNs40ijG7UOrxgYt
ZCTy88LKRvcx5vEUycAaIunJlXY71zPMWz1zsxeUr0xShahQPMrSQUSB71RspW0Wh6VZAXa6ljoE
DYzGag1JVoUjyTzc8amb3mlE3twZvWODHfZsB7Vmqav7pHLNF75S269qyTBOurUMQku2j7DY460F
djmgki/uc4SW6BQ7iWFLTs2b2THc9yceQ3j/LPmdhznfqEuYSex3jo7cBSej5tGLkKUHnbCmx8fH
xlyZm7ynMZl4pVrdn4ZIziUVZeqRxjGWPBZGEoHoObRlvAKtVi+5aOFcLlYOyhunrlEf2GQY30BS
UOVGA6u8QOgaEYlImdIb0i6HOw2N67M7TzZK7xCtX4Dgy3pTxVL/bKIFoVgR4xb3E+GxuOpJLlk2
dY4lE3Eh0/KjHmqGgxjXzK5FWYj4rhKRigNLeuapGknE23e52XunGcrnqsLQubvaChHm1sJu865Q
pIebOQpJWS6NMtx1ZcdWVHWOtbNMZkNbjJ8E1ZFrolkbLpwWOTc8VgyUFeK8DWhmb9uEFUgFIsg6
/gnejtjHJD2wfgVRCBpgOdGFkLVluOENV1L73Rk1/UbLWodxVFucwI5k5yUFQ7maw/KDjGdO0Kwc
5lfCHXnokT2krlYP7T0o0OI+w1smeIS4kKbBHm85P6tSysdpZSAmmE4K3AAiq7nlnPZrxpZ+37Jx
iDdJmRL5Ljx1dQul73ijeCWjqngtq6g9RZlbJRtmMgVwiDzCfVEu58JA+aY5Q3d2uPUCk1f+ThDT
FbZB6A/0Q/iYKaR+wO7Kr1Y4dCpguIPwNTNhKm6M2nbEIYxmQXuFMemdiYXToKjos/lSMZoDCy3H
+FXgi+aLXiMoNu40MbOvdd7bxMTwjbhO+cTjt76bWkPuaSHnbxXn80Ua0URsF1lr38Cbw1PQuwUh
ZyTWvnpMkaVsjAEkGrZNotw2bI7b72qw+zvL0Ub2r6FxJ5zO/kQjp23cMFmebW6kDw8PprWhsUt2
U5XvDSuZ641b9Sh52rxvfy7JyDbDbjrHBkMKYnv90oz7xGqGR2AxwxFNcpZfWMc632w40l/otIhM
x8PM6AGJGhEkQxovyHqQABrWcZmsEapIFLpvM86Jd06X5J5pcDzx2CIRDxUKs858W/W1xmCm6TLn
lgAwBP7WyI6IGAHyIzZoYC3cYAObB5y53AQzctJOS98bqH7Xaqxex6LF1d1iDY9T5v9JgRBtR2GA
vnnoNQyHc2zJR7mYscJNa6MeLNj+7Op40tCg80kwE8EJMQDhJIjLcD8aozfPZSxddMeOTlsaVmiW
GwyVl8HSIbXiqcgm3BVoL7384AguM7YjHSkCukGRwIra6b+QaqSAggaHEaqV2C7rBBmFMDBWF4eb
0cJuYzRO3J0mMnufcIeWi2YkkjMQbsp6ERmvVp2H0bJeFY5aBEN6WVII5VhHaKj1Q4vXp/TdxeW4
5IDXv9osDCue03n0lrTluGw0lkuYZVdTiiA2M4iTOSp8J8ZUdcFxMp+SJtF+hGyKXICLaC79rMW7
V5NX9d1sVj9zPqCcjzQspRuzm9N3QqR4CvzuWdIXTX8s3dqyDtFIogMH1aKeFRR2DuNfVpo5pLn2
uQSw2GRs9aOb2RTmg/hlwskVMG0/IVeyxVNcNsdeGs7PghE2kPpw43pZvm2b2tuYq5PHHq34VU0G
2WPaQsXW4mFnDtRV/ijIuiLek2YVMywq7B570Lz6hIS9ge3B3NUCfZt6i+vT4xY7K9HQ6IcJMzYm
hhvkNMbtsHqNIonrqMBkjv9o3hbJVB4inBSpP6fYk9Ja0wJVlO4OAifTMC+0OHLH8A75E1ojZ3CX
ndsWH0Ri6q9cieYX7Ng0QK+yIncqx7sDI9Re0nhSGr8xdx4WfU6qQPRe/KjNenFjDIrPj5vihegL
HlfQwZdyj5N9fg0tVl7dL8NVsrCGYP0adToTonr4IkJg+LDiETU2unaMI5UZwlYp6G6+TIY5CAi1
GNNWPZNEVXWGdaPYcSISA66PJJyr0M8SVcZbfZjVV6LB66iXBv3wwkPFr8uwHhBurg6ysIzwY4Z9
PxmHAUkvHOdsmk/WajpbfvnPECIhEcriuPJtazZjjrGyya/QGwcmoeQuCARLeRtEukweUdZqD9XM
MmFxiKlYCgRfTP9bh1GUqzaMUKGJ2M2gWNyVUjtleUio0DTD8+Milt5TFYI/IA5hphLkoMybbdQy
wMSRATidBDgZA7WuiRjZatbMR+tY1bOO63pX44STwZDVAgTPxIqEyEWmbJHd5a+Ev3jdCZZ2/IlB
Bbsf62iqolIrKBF1rGM9LASjehGDmT+pTrg/jSKqDgTLMZ8cAEe/lXTGJMCYbfqeWlUkdrSx9i2r
ErC7playtjR+mRCj1Y/IDmBGPF/iqIThH6KmcsG2TRzDVXPfgjgbMTFyGfptslBgD0Q/bDqrFXeG
kzT6OXeBoO/m1hJPzqrGJWfts1zyyVllXTEid90JpT8WWhodbHawJ9kSRFD1LGkITVKee0qw657C
Fo4cj2U7O/ap3d51JhAgbBFkhdgW2Rb+ONXpPsH6eVRuZNcbrUp/SqcTrY9OEpa719r37BvOeE9I
22uqY2GQKTrF2XO8yGLb03wFsJ/2JZzafVJpPeZ+RODKkLcdN8AtCxI3QA6K4DxnzA2rwNu2bEVi
f3b6bOX30Fhg4NjGQ04yMOuLXYaEdF82enmvLML0WILAhdGpGs0CynLIn5mt/FLhkECaRC/izKvc
f0rlLRO/bldW+WHgYCOjVAVRl6m7UrbiRZQFymZLpBDS2+61DEdcpAmmhRHTK0ILEC8gE24RHsCh
M+xBouyfvCMufIs9Um1EmDCxxWy9sMGkoWcQSVCsLoFoCTCN0T2clrFV1qYKvXCz8PD+dDtn30Bg
/6rnOLuLRhI9+7FcQ35G9+TEBhCWRkY/XQ7QjcMHNLQ5COPewqxKzG8Y2wG/MdPull+QkcmE0cCR
3NVPBVkRB5T7qNMVJu0ns4i1cx6WrJlBEB8ckBXPNYTj7+EgkE0ZYta+xsEpu+9mRhu02kAAgZeh
K5Z9m2YKdaNlTNs+QfkLyLTOf2p6315mHTeQP8YeB1g66cx6MbtlakeWDRLG1PXu8RC76Y4l9rAb
bDXS44h6pb0kOkpDW6dSAPjFmVm7NbpUpI88qFxF3PWWGqk71b8eOz0v7VsvLewN05Cg9Z2Qr4HK
A/dgH2zWhxZZUiZJ20bVWRmxbgMIMLPU5feeEK7P2kY1DYzdy+at27ne0Ru9yTsUjeqijVnGFNHK
zOWnG5nwc5nknDvVqSvOHHTYBDtRmA56Kj8IBUY5aJEEdM9YoDr0g2k+sFQaCyKTWQNABJBqC8Em
wstaI1/wUYqzgEnYULOM+bWYQc4qLshZ6wMhk1RP/a8lDjzg/gOECqudX0O//5mP/tv5KEEUSEP/
S4bn02f+Xkbv5T9mpH/+5B+yNf23X651z5L8PkOs4q0/ZGvOb4ZpM69nfoQhXhrsCf4lW/N+47EG
W5NHpOEyPsIn3/0O8sQMz0qY5A6yF1xTIBT+b81JvXUZ8dcxPlNKk37EdXTCzIhU/sekNMncpDNT
sOSd6B8knqhDwSFN9W0PO08r1Gfq0uFq0vN45hWETU55txtjaR7YpJk7r0rJrxqZ25N7ii7mvsNg
tdMJTzn2NJXosMAlOWEkb0zkskcwEdWuB+HxszXCasdxkzr8yrr/0XFjdsSmW7rw2ymRb2hy4pe+
LrubpmoRwgxGj+WwHYR7dqbFPSZKMZtCDUQljXMTv1CkqAcHS+M5WqoP2peWFZBL2I4a39CfjhtE
7yQ68nEkCztAxzq0hOpASWEFibHDao+IhtLnsnAssO8NgXiAmSaPiEds6+WmBE90m02WVfHg12tm
Q5pn3wyhm5SQ+hz7uWzF+M3DRoWumZyPIxGm4ZPokwk+psgyCie8K9c5axVQRm1iWNTHZnLbsyF7
aUs7yQKS/qgrUIf5o5qvOoTJA0Nh9VGJooBkAvTe7/Kuu+2zSYu3qsSqR8dov4RCmZfeNLWnOHPE
m1aVtAE81Mfj3IyKcVRUBq0ZcRTMOR94BFeeF54TE5/x2ocYyVblIm0nKucisE0jXpry8occCCzo
YkHvzTbZ4EW6Hl4hE8FNJlL9FugbU8nMmWdmrWmUo0iBSx/ZMtmzOajAOOnt0SJUdTt26oRJRgTG
gBWUMih+GMCO+yqNRn1VQiNF0Bhn4R1d1HsUN+lJzY664YIa0nAd7Gh7SXJEEOWOs41bbztOHWMW
hj/Qi1p5cLQieeGh2W/BPzVnXWM/r2lOAc9pam4d4EX7qqhmdJHKvI09oklzrAkHRkzizDcaHg1t
Tdokie97syzLKbai8A4td3ozp1yoZBQ7P/qsnHY05t0xqwzEx6X71DRqo7y2gqU3xHcMwTgMvbZ+
BgIY7qLBtd4TauNzgmUBNhReQskW2HQoD4SovxW0Vb7usDzma3rpvBFfVTn0OAIwaSSPxaQO7ZTe
1QaYlNg+yXoXOQtzgzJXDN1hWeLUGg522df1ht135vg1ic9P3AfODTYi+eBltiwPgnDyU86c9K1z
hPsEBq3KtpWpm0z3SP5L/Hoi7QKB5zrgbERzIADWvmJaZfaK9IHRu+slx8IzMbIVlbReSrqaq124
5kFvV4rjXFTUWI5KvsSY17uWXofA2SnsfgCApA0mc8WjyCRMIcXby9cvMd77XCfzXWxh+Ud4Ibdg
dgQsxMWN7uqJdM0tInqkF67LsEHNiFRR+I7f6iQFh5tY6jSL0r7CZEWwgkFr4TdRxefjoD94RuMc
3KWhg6QuHZ9cD67EUDjqQPja/MPLk+Jp7o2qPRgytX5wfSdfsRxNck1tvYGmNBvxux7mFspCmkPY
g7Hj3KbYeIJZFJiKMeqbzS6rUhD9UcPcfmX97ushK29h3plPI2hjCmPbeKTPNC+t1oCM5EORd3GC
+n5ryIZevQVKuB/EEN0uKtXvQenJfaqS/tLHdfGRcgnzrYam8UIp0F/yrDNZKC/NwTVRKelo1K5l
WUBjy4l3oTendTvLEEYEQp7obOtjemFOjffStW2mza2m60/sJFQX4LTXAu5f5+pkfXHvtpF4oDwz
4Jvr0oxPqAWc5ygvBGhJcN4faqmWjSjoDB3s8s2mJfIcp/IpXYciyFYqAkC8aYQ1Si7Tnh6r6YIs
cWMCLPL4oLzyKtIWw4Ou2dq2NmmLCd3WD5OrF1T+vdrY3LhBJ4pkj1qfTBm1lI8d4w6/7xKUaIl3
CyQkumHw4H5kppfcqCjMdjrDeKTJ/XiOZGFglbLFj2xpsptxtKdNWpKYFRe2c0b9xHdoRPISek2G
YhZzMs+i8lzOmF8QIA8qcIriBwaGKsh1rT2YVilftbjZSXd4TWVe77n16Ujp/GISprdamo0/rSr5
TEmVCWSnzdgOdTzqFcpizBanRLOavT3Y1pEe4tbQLGcLelG7Z9ALdG2JymOkhScRtdA8KzmJoM+1
+Y1MG2ZAIYOjeyO0TJx0kVYHrWVs0V080eROu4KcnF0V12+5mI1jXvcM7Nvkxyr1y0+GZeDNqwFV
b7E6o3tEpjjtetYZD/popTcTKcYI0Or+SmzS2XHt78NUH1iS1H6Jd9JHVjUA4J50VCUGGTc9c48q
poZnNYAfhFagokN2hpRdF12njyZjZrBrrw1TLPhPAqGLPW7zE/OkId2ENvb67RKzDt7qbg+tCUVl
jYw5fy/mHB4eGu1vZl53HlzBOblJ556clVhvxKY0teah6fN2vzTKRThjEYvnjNNwLuIoK3YGerMt
KUom8ALN/CwwrSQBR7ydBVbdxxQzWpRvajUkUJHrjnMgMTrC6WaDafYGNbz8KAm8uHVkr26TLO7o
o/EGOmxHfULT5g3Ms5uqcm95W5gUI3tOn8xOEDodeniVN3qoppcwjH96XO7fFpuVqupv7NgddlnX
pCx0wuaBGL3Er3q7ICkGJT5vqmp8kUbGPRLQ5ZsWNWzRnHw6pdj1FbBc7FqsF+aN6bXqxnEz+0dn
ZOH3iD/sRwzqAtczMc4XmrNrzbp9rpyRQZMk5481Gf15MdzVaRi9ZDbQ8wL76ZcpnPwNjGK9M5wF
ZbabsxKjd4jagyo9m1hRlNs4jkGH0a5b5R1ngNqTNz1eXZsxvUFB9pIAwz0xOp1ODfLxLZh0cawL
m01l7ZADNZaVQXBn4h7jls/KRnb5YTS2OLhR321NGLK7jqBVwKG6vc9ie7/0GZmkRLdB6do6NrbQ
2my3RrfCNJj3uRNQOt8tBgbn7adpgUNCaQtvaZKBgQgEPAAc+V4RHSy1LZDBe81sWG1Uyjpm9Wwf
kiKs3m2eZ4w7KCnsroB95pZiV/dJxQlj9H7auu69ZAx5iUI8dQW69psSLafPphnLWV7iUQIhgvnB
uEbjcDaM+UvXMQ2hsw7FhMBS2rgRu8BabObKBqXWFQ6MtSsj1Zx7trl7bUHQ1ClOFdrb8YlA5f55
tuC8TQn5RUqfruSdILb0iLGlSUxRek+krKvIDLJQk+gNa29n8iiLN6Y5feOHxgsN4fIDehDr7lSk
OyuOyosgz+iVz5te3ZJDSf9aE0+Gx9UKCLvUDmVixScndJz7/yDu3LrbVq4t/YuQgVvh8koSvIqk
KFmy5BcM2bJxB6pwR/36/picPu04OTujX7pfMpKdbZMAgapaa835TQlonFxoWldw94qrLfzyAoc9
vpmWFTxUMDwfRlwRNhSFQjzyhjIdR57YPlCHVLc6scVPbSLddfu4vjqzbV3EYHtHugriJ/7f8OwN
eKFR+GfPUAPUSZgeXSAmmdm7YVX9mWWzPCh0nhsil38wwAj3fs08KXHz4dK7VvDuuj10hryuEeey
0XMucnJ5louCfdzSDT00VdJ1YHrlwuoB3zfRc00WVDPsw9b3Dobwlyc4Lp3eFC3xxIA5NzUJu0dn
LpbXiVzi61ylbw20u0czlgXTv0DtHV9m9COdHW2hAnVfrrZ+5lkRYnhEuanVXFo/Z6eTcRJJzk3A
Slich9DLaPsX4qtJKcNtDqqrGljwOD82bymy+m9hXRZHEDY8wG3nQubuCSEjQniQ4CGT9JbYCOSr
wRsiW+r5R7yUxdrL2PdijK0bTGojPnz28dn3k1PjqxevH5OvgRFzyqywpA8ciIjFJpW42GFDkQer
Kj9wDYyP7KgINxyOvGQCDoSDQQY0TXBFlFn9KpDTjyybhi8F0V/HvJ0WHutxPDiw247+DGvT7jCj
zhV05yklAtBkPCtVmUO7/pyYl30mgXQOOc2kgCOsiXCvbH8sIPNPJQNGqChZSSInade7uJrMiN5V
s4XOzu1zJ/fKfBN/Qlq0jwBM63XqNfK7yQMDoMwa4QsSKpvZOWZkq+M4oUJj38P5PlehiSM2yZbn
OM46zgt5+VFYoeZSsD5VtU5/UIzZh1G01gZmo0uzqlfk+erpqRg15FtVO9Y7s2di01EGblVmyj0t
8fAO4i+ZF+i5oujpA+uxJaxhHY8MyANSIkAVh8U2kKSTkc2KtYFKbszWsuP3EhCx38iBmHiyJm/X
IExH1z/ghoHHqthSGmEzySY4FIr9r5AD/9iHD3ON7gCXMw7fWm9CuL8cT80jQ0wzqvzqp5rmPXqA
LwEq3bVnjRm5grS0Uecu+y7wky3zUAVjsukP2Jv6d2U244ceIYaGdG1fDWGHDw0BSz8MzkwlQ94a
gW4rwh0/j4sSfPTPji7lgwdb4t0P4oGzkRAH8rzVbnAMg11wmQ38ZDYsnpC5QbuqLQP5eV2zxKus
Cnc2jIVVOjWgqpeZkO24zYMfJjguFxEsU9CljP1vjA49f2WYCAAkR6RIhkt46SeNrZmcoN2Sxtme
sNn5w6vTir2jqFEWEaHNWlbrG0mz47EQer4ZHT01fEXkZhNIYkcw7/RB06l4CoHcfyRLDBGlneQb
8cuYu3QHfW9xq8grJvTfvW2Cq+sRBww9bD47Vs2tFz3T5aEZCXzVyfjFqL2JgJzR7c6eIFhgGhan
WRENELxjS1M7v7N/ZahMjoB6wbtCtHQeg8Qy1xNgbtACWNlakuLSjTRwas++to9tbNtbY1mqt0EU
nFy1TzYFrzvt87K53CFll7JlkLnSnV42TUp27Mqlh/xY0Ky9crgGecE0etm3OaS9lWITfUoaBd4i
S0V5kF4V7MgoaZ9zyRkWmFVR7Ss7dDchVcwD4diIqcu6e/FMAxn5nSO9dEUCKxgbWdzGcGOBQOSH
qfbslegmfYQnKI8K3/Ab05HxS8gp9DbYE7uJzp3Xyp6zYzha+ffEH9iL4klfhBYSCqo0kwfYf9a5
7sDMpIQJwUQoxcGUI/Y0gFGgtJrcEx+jCy1kFRaO+VF5VoHv1ifvzy0QAkHcCWna+71rqojQxuFE
aqgVOQ3mpBWOPL1dsHuc2cflezrH8nWEEISow6UwCPputcDZupKZErx4fuEfg1bgBBhGpPiGXV1w
mHDEyvuuUBizsvHN8ntvI8w8vcbubO/aztL4B6bCe9cIKDg0mOaql0F5MgrBqTPLfeAFA3lZPrnW
sGS9hJ82+JATHZA0N3aaptXWXKjBuQ4cASi5R9tZe3HA6ooct4CJeO89AFCr9hZTDRyHZMc4pamO
TdFB76s1JCEDRA/0duJnN2HhEfyAObkieNqSxLVmiGG5ao63BhjgDIbFOXMFX9YGlCdml3Hh/9v+
773R/Ds69b8az3eq6P+vaCY/NAGMosr8n8WvuyGHcdr/Ln397z/1X+JX929QQ53/09Pl7/tHU9cL
/maFwnRwADPS+kcE0/8mnLp/8y2ayvhzMSLfG77/3dS178FNPjxky7VtCzfN/xXh9E8JKpJcvG0m
Olsw9b7l/xG0F9rZ6HUM8qJepGW60npZvqa2N/+HyLJ7StzvnWOMPR4Vpe2FvmdzXX98TOeZHn1j
eCke7++3EfLiFs9NQq+wL5D8EeH5j2nE/2h0tu6Ben9+IqGxLn5nE1HqvSv+u7Y2pD0XDEXsRb41
hyjDKvoLkP9Tprp4LykKvCp7DoiJ2vdx8MT0lxRpAgD1t3pxwKKrMD92cH6gkI12ZOshP4ZLOZ1x
FeoHa2Zx+e2pefzHF/tdiG/92Vu/3yF+chcgQ2j65t+1wr9pgXP0e8s01z4H+qbi4ESeDeoy/rNg
dos/Lw7w0vjMUyGofLaNqT/p6k2vnEAl3YMGFC1uxZe6mfsjOY3Nr7/+eva/Pid8PYcS0KKZwDPJ
8/j77fRDRTuHDTsaLOmeM20VM7yPxtn43ZSemF+x5NG0a04QzefINExYIzi6I75zsE9n1/9qowq5
LnPKuFIezNS4QUAXTINHji0rTCrFO2jFYDfGbvtYAiT9PqAaJo5Byae/vhb3T//9/VYHCMpJb3Do
BdzhAL9fSwC9wWSgJiI5lOnDIlpGjoiJks0saURNbTbQ4mecEhlNN32y19OxLNHZgvquegF5LzRu
wzz37547ctCyLBrShSHeZqvACi3OfpvdI15pJ/ilkVyR3oyHvsFV1yb5uxQKmWks3kDrOJfeGNY1
kvNgyca9XLzqULQlpruqVg/krmpYTCnJZis7s+JtSldwlfvw24ASExFLhC5MUDP9DDx0fWxgALTA
hehzT88R6hYTplNbmewpuW2E/abRc/721/fy7y/uH6+ZbzrCdVDzWI7HhOmf7qX0CTEW3SIiC7zP
tTGLmvnoZD5gAtj5jvXLyKf5itkPF16FVKDaUwFOvzxVtt9dqfqzIvGhwt2IkBN0YblhC8O3Vte+
tTZiRz42aYOZfeyS+YQSdfkMcf8+DzJuTmE5G2+WUyQPUntJsi6RW6xQrs8PQTHk237wzP/w4Pw9
HvZfLta/bwkgJQSvwh8XG3BGIRHbizgZjJeksokb5ta6B8my/mgsXrhVFqhQsh+AEaggOTlSIN5j
PCf3lua4ITjt/mynxPzx17/Dv1lfA5fnGnaG5zEC/MNGVCYIr0oxiWgKbLFmePArHZcDosd5w8jg
+Ncf9m/WAgxD9p3a7QQWS/o/34aG/WEKll5EVJ3+m0ntcH+L8+tff8q/WRD/6VP+eEsZuWRe57Qi
QgyZ/TShpsNUqvGdw8hdtn/9Wf9mRbgDOWAa2oxk3ft09fcVgUcyl5K+SESqt31yjEp/AnGCidU6
5pM9M6dE+k9LE0mvSawTKR2bv/4C/+aWhkQUhDRShXD5r//8BeB2CklmgojK3h9frUm5yDe1/x92
Yfv+1/z+AGMx4+AgRMASbpvMcf/5Y2yW3PtUz0OL3z7Jzk7WlbnsOOLeZiI3w+wKX2vtzNPnPC2M
kUrjqi3k7ewnWNQdEtPA65OnlbrNzevktLsL//GrP3W25Hi+pGYkM7qiJv5/yUn5ToDU7YYm/88c
y/Vf37I/nw9cO3QZ2StdK7zPypm///6baaBGavCQcSm2nXU8ZLgBFo7C2muM//Dr/MttA/hy3/iY
feMRwqb0zx+V6tgmtMsII7/0GNYshYEeUzNLaOE3OV087LnV4X/4UI6Cf77VcBw5CXBcYmWFP/Pn
zzXhXbEra4ojfHBfmPmCMUS2DXhjnt4c1aBit+buyUiyQ5tM735YQwKYFvuDtjFsJjMFpkUb2w98
1GveYydhL7C4qV3Wyh2YcDpLcfYe2917M1pgqxg1BwFDoA55JPhlBCj+NB9AIRCzwTz2MfQmCQeO
ej9bEH3dkQ0IyxdzC2dQnIMGcSwW1wdpG+XWnycUnDHWb0dWt0Gl4arGS8AL9ERptmbRPxRu8Hyv
3a7a+3Cl/qxx0FxrYiQ2tRDJW9cYw9Ug22c7kcaxQXOJOFUxyGw7P99BrCM8pKLP9A5JHRgGmrh0
Hc7d+GmTtYR1BPMqrFDHfZ8zO9iGZvVFypFmzQ5ixCrDRcvUXwDXiwFmZkZSffMFAEJiO0S7Faoo
4FmHYHZLlPU2ZNoLgvfi0Zo9or/sXPUgYV323Hawf3ZOEZyryu+2mZVYxLMUdKaJAIwjPWHQ2cTs
Ut+KjjhEcIX0bXM0O6X3LGSGlEzdx6k1UgTMqoqmWOuk7g1rhFoDno1mx4zCZt5T8OudXTqQdL4M
I5wsxEz9Yoe/lgmRLd05NQ4/MX6J18xuii2KzioKg/FrlapjV4Ei64YefrytrFeV585tLFrgoYts
aKQsJdnLoQ5XoaNuVYgulGH0eSzQPPSybVcEadLjKYLZW+PVGa8tYsadRQzQYz8G1SfjoO46oOil
l5MmvwJaVjtYD93eVIG8dWVgvdVKll+nzNkhoW/6bZbPwWPTVBJXPwA3dBlmKtaVTT8Ui+vyUia6
v6G3HF4k9fFaGS2g3TSWO9kYxcWQKtkTH2A8FRy0LkMO+yw3bXNjoSbjkz15ibUxRMXErGxwA+vD
iJEWQNwQF7uVQLX59fY6r/obKr/v7egv3/P7FU6mMHZtPD7C7d/p5gudbgic1XKFVXGOGXDv6KNP
xJkWzY84toirYy4KUW7IOIAHuHVUYR0Nv9SbHiLFRpOUtGrQnNx8NaWXQjV6Y0pSTJqlrX+hxJu3
BplVRwim1bUWwU9Ide+1acZI7q1G0sTGSvTV7/xm7yYTYt4FxELqwJYdulQf0GzWq6FNvray+yrD
aUCSLKz2e9lY/WsSFN4eSkO1C52FJFpY1WsqHwzmVSs2bYgIIm9luW0JTIiEw5eyTK9+BX9rnDO+
1UZaMf9yUT+xws57uknTweodL+LfSna2Pz3E3fjTEcmphPy76vKQnDU63YxSs5R/wUjS55F0smhk
joiEMgiucScLUg8NWJjD8r0LRPNUtpN3JR+TmDE6smBOs/FAfNqjlqZzG9KK38QeGrQz3UTGEdoW
XirmdWk4gWYB+z7bjXzwc6RthUP3I1lQGgu8fS89qhP+mdQn01RcYKO6NdBIUq3cjiGjp8AsWymp
y7Q6SVwT0wXVa3kTSzOde2FUkSHbHhp8vkOu/g6aqdsCwK83sMIV62q7oY+KPhDO7KUBgLNajJks
jykfVlOg8o0KSawAka4eIR2GCQxiUiC2TuW+OrFijuZgBoxSDGNkV15xJQxPSbycQLmiUO8Ousi/
xIQBcMWyuEElglG9ZPanqefySY45J/0AL/Uu72w/WLW6zjdz611b23M3tQRxrWbn2YqZO9WuvRqG
GK+mP+zIKRiisLW/16M6pZbYlG6B1xzbXVaP7m6SHo0tw3xuChr/6TyeawIDH6YB4cJK0NN/Axho
baSaaoaMlGfIK+PK3y4MYqmudXvqAW0zanAieArJZdAAHnp7stbp5GgI3Q2IQEORMzdkYY3gGpYl
XEWw2c0UHzl2NLsGusCpcYzx0bBA9JITVz+kTSOPwuuaJ9dTN7guQBNLEskyt20+dGsWOyv2s9e4
DlyY0G5Gp7F13vjWaASGQlxqzOy7kHiAXerJ9CPEN3ZEBTusfI+ds7UX8PKVDPdjNuCa6XPKwXIB
Y4Wv5yAJA2XpF6Cc2sI8kzc8QJNn8c6z9tZav4qUPsLKM5buS9D79bpDofpoQ/N88nADnSTjUeCi
fn4yXWeJ3LKPv9ZEULwxMb3zvErrichdtauFy16Y2vnObfvsG6pULFouAqNRBf6bTExUsGnYMPhN
2G7T5RH/GW2/wkke6ez0kcnVPkzgeU792ImH2BlElMaj+cU20+yGQMs5tGT/PpC4BGYnzJPzWAX8
NyREF+Xnn7JS+ZdUVLQMUdxic1SRGrrvQSXSbU0qHebD9r66hGlqFStkBDRSfW85dC6OJqM9yuEq
zCyqOq++TiX2FEIPgp4oCi+OjCFgeKC85qnXmYAKq6o338YyZxju6xK7gk62yfanGOYj2aVb3eOP
2pmkSiOk86o7YdVjDXPbLbYj0K8mxFHfaNWzgVUDizB0rhH6kUgPiskcPVXXRVqomo12Kx78uG+x
38y15x4Qj+lDHZhfA7f3HwP+PLIow7jVIZ1RnalPryPgBDurwwm4bOvnuh0u+Ev2fuf+qoO7w0sn
j6IIvc28jMUGWVrOUIX7nPiZWAMWRcTuu2dybaEcgDYNCB9oGWkR82wtKdgMCxidFQ7XvgcGTInp
IfcvM2sboiChl92N7cUleO3Vb33rqap688x0Sx6R4s3neZ67z05kmANGhc1iqvkyhuniv5rN8EeQ
pfWxyDAu2il/zooDY9N6NVLpjEPfNha5M65YF5YPO+z8B6LMF7zKhM9GbejXT7L26wM6uvEnmdPe
sMIRIU9JGoy7rpFw0X0rs16MmDNJDm2MgBHBfj3S/oHlC0Jk52KIZascVIz/wyK+2SqJRu2mKtkt
ymEa2sXKY6SWoqjEJlS+NoTkvpHoUyabtsMWBrsnjeMox4nprVSTh5ciLUYil41p41AMQWOLDfGe
KLYgX8blO75cfxcKA49NQT47xqYqxDSrJF/e9JDmh0wholEaqlsRh6ivM2QXjkyYCq9ySRGPjvkT
fJfvLmnrINXgi5DhfWyTONkPg34btM0LrQmoQC3f7gcIInfJCKKI+3Zj2r7P6bbV6t4imjc1KS4b
vLvDg42/apvGQ7r1HVAlqC8AerVVPMOnnrYxOR55VYZbdlekS87dstotdX4yID6/1rMmOfNTu/5T
MNlfQBp/WCo9BEtCfkr3ltpYoKrEqG5qNIN9Z9Y+BoLKB9gRFP2mbLJq05gWCZCN1uGlMmWLYCLU
+6o0gPP6pc05KRD1ORRt/2x0BX5hPLEMYKVN5nKdQX7uUADjviLDac1XGABEieRG4MtzPFcOFoS6
fp+1iVihnUxnT2tp+onGoX9Gb6R2TPaMiDQPf18bS3K3UBXLJ3K+keYrHNXEvTOzCZvf8SaTSInk
9xYk+bQfTSt5r5veWrXWEERekyCvT8KjUxfy5hU0XEDiE4I3dpk8gAycXs2WiA5qldFRq+zuE/Ea
Tc1qZv1C8KaX/eLP3BFOuGA3ajE8NlavTV2MEB3+ninII87/HYFPxEBELq3WqLXD6gHzlyFWmdf4
2zJPYTaHJkq0zG0cdGW2geUzDJ6N2adg8Gka4jlZmncKdvNEi6KBQW2HvNxDuDNI6iOlBjxaPjEP
rurPnqbjdnZ684N32IZmN8V7LJ360RjNIYLqRgjJPLTNAbGUcTZTJ4baAH3+XCK/uOKTryOR4hgG
itns7jLiTea41qlKgpdyNI82FrXvekgy8jxV+gxVqnnWwjHQ5AG0ZQKLWKQKvRuQFvMb88DwaShs
+2z7Zrzir0x+3JfCbxiMUpKuK4WByyqsU5szjpa5Eb74uu+/+EVYhJuhz36wsJSXdJzml8kkPmGT
gRDeWqD/v4GhU1xDWuxTOE4PyC6Si6UThWJxbo5NjhJAJkMPvgK+d2PYyddMDvEVQ0vNC0TvZUJl
fQLx0H0lfsTRaLjDkngODSxNMRD8O299r0Yf+wpdhuxKZ3B8LVw6g7MB8q4Jxy4km3LqbsCDfdop
ul32Nee1ExoQ7+dkKXCKOq+zm8OjelNBvtQpQSi2fRA+9XFaUk3uoRjXIPeyidzVPKj3jFvzrx3a
oHeVuyaDRpPBwapRGv8Qh/P8BWN0uLGDBQ51ZbTdyq8qCpsgqcwHlYL+NzwTZjma8j1SIUBgzOgo
A9P2kW0yR6BFpjFviYLntwTLq4EH88XIjBJ/biA2SmpMPKruL4U/3/w48Hn4x2LYSy7BWOFnqX/x
P10P5wze/6hYAhKWMHwz65iTQJC6kCCeauEOujF8r7UKkw6LmkXD1GSKv+L/Vj9KGc/RCKjnamF2
pbznwMPg2SDRPI3z91oYNapNS/TjuqndieSaNO13pXI47Bp6IQ6zcTFKtsnyxIXSQpftjGibTPYd
m/qym32v2heOYTIdjuPu12gTS46lchxq1IiV564pDAgPDgkrJWoztmDcl3cB/IaTtGFcsTf0wcla
vHKKZiHehgoaqdSB81RqJ9xnRqbIcx8bUr854ecNb7uQhHU31URE+KRYCrQeiGIosjDdVjVkib5h
Ai3wA8po6drFfqC9x+iUjD8GVUGTa1QEJIrNgF7PhRN2LxkYhfVkkIM0KZ86zQjmX1qGYMKovaej
Nprqu7AkUhxM9mKNKoDl35xG5wGhhv5qw3X9RSyVdza1MD65dPU+xFOHDwl9x5GtkGWA3wb+3DJU
QXshqmC5dA2Sdoy6utyOYjQf6IYlrOcj1ITN6JTZ3UAvrxlQ3UtjihxAQUe56E8q+J7nbUF3nYX7
q7LwukaBM53IDAiIFYefBe5z8ki6U4Q3ldKN3xgp8V6N5T3jImue6zEOHtAmJ8WWiLLvJSlxztSl
iLpchif0M3cQqY4FngluNi2wVa2N5Im8nPLLTBr51jFlcpJpYF0LENw0PtqhBQEz1t12YYJ9WCpl
R5KYpj6qkFh/dXIPJDjb12uCdRnBUIDWjSuxumOr8+KDlDYwn1PT73lVk5MKButRdrkBOqTowUfO
tsE4vp/RnK3necH8LLAhr9151OfcsigMqIa/20IFB7qrycke55+dNf5sO+PFpARYERNlHRxU9pug
cUAYTCyhxCUOr61MkmMQEjeeu0n2cwRbkcHZz5YLnS12hoqD9Z2x6aMdwZUSyRYxsp6l8bMLQdeS
BUQaki2m7sf9I0hoQQIaPs2pi6/Os4mAXukxo7SHoUS2ruks5Ldao7N27+o+UBmU4PpVtC2k/EJP
3zMCR4r1GMz9dY79R7LOxblnDRZcVrzJ+hnhG8KJ4TRiUD9gBOxRIS3vJn8LMRCGcDcUJsXO6xf8
JiwR86Zd9LdgoA9Hok3lvvt4Qq+m8p23jks/BmzDqA/r/sCMq4noLjmv92wUFBpKE/C8iIth4Wfg
LAPyD5f+Rln6nBLwdQo9MqXjXsnPpZxpt1UDQi9JrWvMEHodNfXxOq4RSzXBwHtgWLhIONImaJND
e8Llz5bcF/aMZEcbu8bsIB20Hoa3ZLDlpbONeovnxD80PnbXFSud9SyDFgcdKWQhiVkBXFUjB+hs
dU9V3KaPlk1fMCTJlhpwcM5xjPMy5zlcvKVJ1kGAhoZfHKW5tl2GrmRBr4Y0PDVj+DYZjv+K05Qo
+KUlgzbQpNqXFdGG7L3HIfecczAOHtyWTL2NlpefoBdXaw4HMrLnkaTGUSFJDcPpPE9BAQvWNJYo
hH9NDUR9dfMXqmJ3nMZTC+j1R9JqNuAScakjGKNBT65fKk8UX5Jk0FhWEv+VeX1DSZTFqB7dQTlR
AO2GiF4i2zbETQWvgZHhIpGl/dwvdUg9m6Gade/6P911W0ns6bqd2nzdqWKs127NoxK65ETuJs6S
eD5gsICgMokiKjAubELMLhy3FoJ0shAtv4cTJ8TZNXG0xzkLygdMlEY8pGS17TJ/eOotSDAlx3vM
2rRH7m4UO0vg3k7GLSuX/KKaJj4GKFd2aQOwZJqE9zC7tYKKbdXbQOl8I8aOGqiDRtXGuXzM5uax
qxznxZrjVd3a37LG+whL7MuoseYMBxowfy/VFVHKrbful/LsDbHYg882n2QjnDXqvuBYLROimK74
UqehvbJwY/5Slm09+63rfhkA6x4yjiCRocbnGLUPi7Q3PU2IFPdDKYrLzE6Kn7mOuiQfnhAdJfAf
qmrX9a23tSu6zDR0nTM8lmEnyNjYDh02J4Yh70NA0IWZlKSfx6Q/l62/G1weI8Lrf/VUK58LxA0c
NMSgE+uzngVyI/T4GOhldTDtpoxUWxc7P8Wri3KuJ1OS7kCkCdn60g/DVjOPdVTNb8ysKzKX7ofb
VcS5gH+4BkPfYvOG8gmmhpW0pv+0c2Nz2DYIP/H69nYQ2eKqIJ2jgyugnLSiG7bEHJKk0DNaBkKj
yK3Hs66lEYV5fYEVPLxXISrnwEh22NWsAyzbu+OU4JzBbNdN5z3Yut8bkvoOyKF7alV6pfeLW8qq
dk2a3xoDSwbpUBNLE+WwPVUz7fxxOdEAeylCl7aC6a8ZPKztDBsSQmt5QIN7SshaopaYy08HyAjk
lPYbYRoPlkVVsUqypkngZcCjYLZvsx0YgpAQSiAtsoNvL51cNaHC1NDXTLI4evgnYcwFHH4KZOJQ
fLRwpM3gPiGm9V5OQKybv2Ft805gZ9yN05Bi4wzzNmHN3Zg+4dRk3Ijv0HXdZ08l9RAlqY10G2GZ
tyWBr9+XyyJdei1NehQG0MKdg9b9vR0tI/mI+Qe8nq3E3OuEeKldeAjthEoXdeEYFby3ck0tHWms
TvB+Q0krg9TzGwrW+FlJvMjZEDbhjmSEw53HmQTKPiphZwwwx2la9ojnsg9s5OyKPrFVKKWtJv9i
ZDpn5AjHOfxIiDYXK0s4GJIJEo1PXkZ9sk4Kz5rewzAvbmHiCwdCfgBgcxmYjzCgzR9KAQvkHiK1
npRNT9RDcj0k7IcehOP7egqJFPJH9pRPY/E89DALgPxO9c7JNT1NtHEwP7zM89+xVwwfS2OLzwKU
O36OcADKE3Ju7qjrcF7P5VZryM2BWqx+nwu2exKN6EZkyUi1GEvUJYHRvtEobqPcnlpGmL1/9D1B
D9/wV0jHBatVefFMfB7oEK5Obh+6Sn6kJjg25lxXwf6eNEjXjeTU5b3x7FpAl3Bk18lNcCA588Sl
7zGQcipi8rC6xHzwF+sTJeFAbBToJkL0MqZLi4IRjpa2Cr+Nyfgk1Pzmxt1MrFLMMSPXjjrMxBsk
GCB2bt02lxCaydpredAREi44JO27yMYanti7a3bIgi5ZXpL4RxlApdobLgb4Uo/VTw24dN26TofQ
OCW9LHVWvR9TM7kjLhl0LPGacNfpOWzq/iUZwO/NmUOTuhTqkiNgMMvi3DlGHFmzb22sIKVJ0TVx
/Ea9UJkRqjS18QtHH8bG6b9lVg6vq/WW+aR7mM2kbhY5B9+MsbDq2XSrIWHJS9cB/YIlT8L9YhL4
ZlLq2Kw/FXztshbPClY7By36p5lpMBwR+Tu5O9ZuGVlx6a3O56wROD7iWb8tPlVbtWaURWcDhFd2
xcfyNk2Wc4M5FuNL7p3lG6EVxX7gdHx2w957W5S2aH4x1uNIpKHF5ktonufSwCiDVh59fe0b+a7q
kvjq0Br6QW1KFaLz+AKrqKZRwf3jThqpb0WxsMoXSrgMWlC7Q/G7nioLV2gIaiLtxuKlgvzdDnLa
imp67fGycAeTFwbIO2kF/r5klhQNuu3W5rJAFBKtoMedG5CIGSmyrmQvPUmDKEYklcnIg7YqMUD+
qnV2kYokL3hKO99uN/WEAQ3FMls2jfy1DjI68KmMADmMmw6lDUQ3WybbcKmgYjeoYUB2iew7nloC
gcgAnfYV9eebWYf0Vj1XHURuq0+8wKR8zjYPyER6araqVDg+l8TmgHuw+mJfxIhiCf/wH/w0qF7s
2eva3UCzLlybbqL5XhCqgMQktxRCdu9j7epGmR2ZnDBysKtyP7chMWWtOWBwcqtJP+k5w3fqWxM8
QvJ/90FhloATm4FxAkSNN+T52Q9CAKx1jbjm2QM9TJ94ltlJaJclTPjjY18wNhvtmEKuIcUUQr+k
ZFKNe2htUunWHnLwy8Q55jguMWyVoZOkyabpTHaVLhtedvC+cNV6bvnasIfXosMtGQQ6iDJvbHdT
YOUc6+yD5+NyWU04kwQqYGTmXm+fqeCaVUr4M9QIJNG3Wn52eWb8hHRmrFt/MB6K+4l30nb2hF6P
UE/su+umKhEHa+3h286dx5B20Kub2j7OLaDgwaghkArYOCjUSZUrmnlNci/rVm0XD+icXI5lI2dn
PEknVtx5jSk12A6s0jvPKZj7N+19MqZi62tJu+GIqweScUFGWp053tOg8UYWViN+WKHvxyu6emwe
RT7jVkEnjFqfGN4yHaYNPSRnY5LIvZLQld9aBOXPFs/nLZUWj1KCjXtydfMkkGqBIbG9NTtPt8lZ
ZGlQje7BVCaG9rpYsg0+teo5q2SxGzqv/6pi1rrGdBjoTzXKttVi5lzxHYszrsvaYrKU+D0u1Cb9
4aKjfcfSmF0x5qkN40TyxBAqruBxiHVA8tYapLvHnSox3dfOckqNgC0naUZ+HbwHwYcxGe9kbPxM
Rt85Ew70yANFt55u0roq+/wxxXo0bKDK3SsHN63mS6gZXe8kVe+wa1g8ySRuu3HPY604Pjq0TKcq
wO2J5fTF/1/Undlu5EiapV+lMdfDhNFIGkmgZy7c6fRFckmhLaS4IRSSgvtOGpenn8+zaoDMyOwK
FNA3fVGFSmRFSE4njWb/Oec7LZzVy4tIi6D2C8isBlcWy8DqX1fajA6OW3bvEt6hxcw9cq3htoV4
dKzE7G7z3AChNJBx57YEXvAlZlj0wN2Vfs2rxnyZJMAQUDjxLgaaFkZ1tN4q4DLb1r3w/YitIjsX
pnjBdTk85atkMOWVZOOy1byE7SRxQU/Fn368egH+8Hznq3V5aP22ua5A/4W8LYqdcrv+VM3ExDar
0BL5xfz9lAwZG3bWlQHXMpBxUZycJaZKFGguqe8UxWQF+xn2INVuGLQMRwI7xltO5+Cz1bPRpvah
PPRGQleDcpP9nGZpaA5qV8h5/DBoMAXQICMTyP6kim1iptfROs133JEFW2q7e62Vzt4tv2CWDl3y
waUyYiL0NjLUWZCPcTBACQWJOmf8d86U5BEmITxvxA1v3go99A/mXPY3No0tpNW9Sp+GxSR47hjT
SDucnx7aNEFBJ9N/B1DK4ySpSuLRZlLsGjXgUTGJNbl+5j5GmpwfhWhsRMgFnLpCArSl4zFs4h4R
01uLp6QrsZCQ9EUFrc9GbTy5lfFpYe18LBvCqmBUo9Co5/Syq631llLRZ2F0+nahWf6R/Jm+N6hN
CrLsy8SoNZSE3l6oIezvHNOaX4woGXYZRpQrq049qvOi8YVl5UXlhXVejMv+YCrzGyu35VVV9GJf
xEl5Fw/AcyNH5x9aR9SCTFJsu1KnHFUEqwMGqwNnw5QcSCMHEISu7UDH69s9VULraxm3FNbBjZHv
pWWwH+sbYRAnX5erLHXioAIZeWjJBwe9ctdt3Ixy29oXa0Q1eixNcXMsG8Xc59LFabnjiTBETZzL
NF+ActSstfxWQArS0vzCsDW9onHUCpnZZvythJlrmIxHymisu8YlMl76hCKMBGLHSBPAJqt+TMxr
1Mw7o4jGec82GhbHYtkt8NJEbKM+qw6tYmqsvPjVS5IPXEqfHtPWbYyKnUZmOLuXYuleZfumrT9z
RUkriaR9BepgU5LbbPKFhvhSX8ddfD259fM8suzA7QnmAmHIMBeKQeNkxyO7HU070KlrQihtHij2
POAYIhCvE1pBqmLrTJSEOKhCw2aaEbK8kXFP2QMTk8ZhJeRRWPZhzJZru2X6vUB/uWfUZZPmmgly
DjF+5GZNOUyOY/bNJXYfGm6cnT03zR9I4apHp+LEWK8po/CyNvf/e61JVXVI97SgDPEboDb7zBFY
hBAU6ILs0/7pd3PefzcM6H9SLR23Ir6//zoJ8vWzH/5j8wnlp/hjGsT6x5/7RxbEF7+RY8UKJVwX
GtUfeuk85zfkIQvco2/+3kyHQ/T/Z0Eu7B/h0hWHXCfxrfOv/gn4kYDQ0Rsg8ggXO6Rry38H8PMX
uyFQHx+Ho+WwcrkKqvqfHJWuTcq8wDpPMfeYhy1wso2OVRrgPPQ4IC/HP1yev4s8XByaf3SjKpr5
2LHZrssVAV/0UygkkzOvf+G7ezPvY3qX8+zT5on9os2q2SGyT0EZrWBsRv5fbNMW7bGyJc74vMJd
w0IoraecCbX+lfHy4oL9+feSgJRs4WByhjT/5+tAyJpSlIXA3CSLbwPn5sCcDG9DKP4gB/vk+yvr
fGF1YZQW8ECXswNp6N/0WF+ujWU6Ugi6q8BL/fQ75B4A0DkbvX2Tzu2eWnRGZGZaP/7rr+BvvnHb
JmBECMJ38T9f/v0fQicuFxmYaubtrdo5OPmEOcJND1NaINbDJfvFheU+/fm6Opbg09iYWW1upD//
tE52ppghte39ylXh7DF7zsZG/uKn/OwL5soRZcLO7RMqUp786a6SEfW8kxO5ewdnz6YlVYPNYrzX
Zfpveu5//0G2Ml3s2o6H7f7PHwdCKFf0cvtGKfk/2Ic/phQqQ25Vd1aW/8K6/TffFJQvC5oXNUTC
ET/9sHmE1Oj2trtHlxBbTJX2JtGSNuuVHRO0wcO/vjHk5bv46RnwL154C6O/Yp366btKTc9eOzeG
GWhQhdPp2uedF4n7gsIkkvVJTsVuq0LgjvKw1hnyryij76rAETVVc3uf5RiVOazrwMoVWzvhtMj0
llcEjrOud4NsaO/1kspvj5SKpVurLJGeumZN9KaeICXRYW0Go4MitBGZ+tKVZfflX39G82+ec9/x
FQhtwVr8l/txAhw+OYz89nGVyGPmGN5x0Y5AWnOeDPpf4WP0x6qLf7gWJ2tb5vIRVor3i0v9d/er
z8pt+6TvHAJJf76NUGXtCiyKvy+K0T7iYbuphPI3EA7Vv+mYh7smePFgLbI8h2v9009KmkvBXeYT
zInScjtfyPZdXX7rYbfvfnFpKc/4yw106TY1f481WuQff1pa2tK0DFcCnbR9AnS5NtJLNHm+g8ox
3yuDG0G2w2MMpwfbz7DkweCJdhtRGwm0qoZm5aOh7heX8P2mHx31AJ7FeXN06x0mQEAF0tG4PPj9
YF8Pg66v8gTNouoSyDFYkLI5LDwfW9ZocvAp3fFI2tw7NECaQ7+rlj3GoDboOnQfy+nI4LajAH7s
UB8Q7aeB01KMZ+U80hCIN9ecmWIkvdrFepaBdjmDRqLM3pY2K4+29qedKDDaLBiSNkjK7jFvB/cF
7cC+pfwsPay93RNnErS/Y709eUAgzmZGmiIfrF2BGnZMnLTb9qWJKWIem0cbo/KLHKvmDTkHoHBC
mcEmWdpoSwyF43Cll7CCGHFIxZA9GKJpbz1RejC/3Qa9HIc2dpLJal+aWUdn5gDRc+LTjKwx0L+r
qZ9J7AjrNTeyr1UhEdtyShgRhjugpZ1145ZJ0Ir0YNlGeeDoigWs07G8B/3BER+PlnfxNPa3K+VY
0I6x6PVtl+/5OLC+NUooPY1MyC7nN0rnUugSrFLLtT+Cy2HGMF4O2TIaXfKYbYqFYNKfbJm4JpOF
5TMhmFAXo3nTDhENGo4lxyOTnP6r2Vf62WHs3Aal0/RqE3XCf2bbtnCQA5Lw5BWljQAlGLW0LZMX
5diQxFW5q1sRgciERBFt25VXPwBAE8UsK+x6xM3rpQcZMwirPL5v2WsunzZ6GiaZsFEUQvQdVRzC
q904zmvSSIydvrRfraQVeuNBIr7VAHoYzmoalZDqBeZXFg8sr529dGqTl5P/zJRoKJ4tizZJje2C
MmqS4Rs3crjjfapgHwqbjRDA/okxHlucU9l324ICnB9rbC34gYg4xIEY8AbtPdngTsjycbmWVHWc
VjWoGqAosZ1IoYMm0az2cmWDs2E9KL8ry2FoxsHBCPwLDaLzS0IhMR4SDaLmDN2GERjStr+va2Pt
tiIvy8Cropt8nEH6WjWjpLky+X2TqYN1QAmESrHsK3IdVOSu1wzZoY6b7Ql7Q3cVD1X5YFXTsM3T
JZwbN8GN6s876BtD2PO7HSajZjjZDv7Bc0TJ9ztTVqNm7o9iZZgIC3JUoVvH5rO2PPfKWtrP2nTa
XTqC4+1A93/zIx8HpY4ZoBsmMQVI6JKyXT3irFudac/wxw7aIufqc/g5eyPqJ/O+5JhUncdnBT1v
9Wn5Jkhl3mRURABL66IP5ttOBFB2AoWYUVhc8BU/MKwRByZ6xW5a6EU2Zt7CbEW7d+0QI8BTuRz8
ySghA2Bga7FnXNLNAPDopp01G8R5Ne0rNMQMqxf0hW7MAI40J8pSvau+9lr6GFe8dH0fe9ABo6d4
0fZV21Fsg4dOXnXd4L+lnrKeoNAOuyKOLSS8qBvZlXfRQQqnPiTlkOKLSXkUEOFOKXiUQDVsjoHQ
JWQn9YvnMdzxiGhueestm2kcx0MXrdWZyMulM8Ce1qDGEQ5yr8tQx40i29pjVsN2YeMNm+kGtgVG
1sxdH2Tr9udmzdPvc8qKKwyZgS8w033b5vNdr+sJNgsQQezL8WbMV/+JTpF1N3eLESD2r+fYz15G
5QNBIZ5yQarDxVZ3UVHeCwH5p0xKdZxGi1r5PAvilRqRAnExrC01fdLzOlBh3OQlVvjRMF9mv7XO
dtGfpyihJbPJ4u2MM20r7cXEg2bZMcf+hLhD4eaBU9RTWNs+6SfQCpvMxJm64qy4J6FQpWFnQzLE
NgbLvTJ+MN5GsXWdRzZJ654YE1P5mkdZmWJvmoq85VSbZ4T2L03aXVsZrjHXNBo6PGS3j6Lqzaxr
GlH45FYHOSaOa/whoEh7FzB/utq7WWKescbJummnMbqvRFTuQKAyVfHss13rKvA9A6HGUnM4TWP7
DaAzzYkLHQRqWe8UXpYwg8oxbdQ8qZfKTWg+JA4agp7ILYotY0RRuzIAY9VL1TyxL5u/SCbAB3q0
o32HxW0LFgStgynQxmwN/yHh874CGdPkHOYCM1tBX8rMct5mUDKKsXYDt60jsXOWLtf4NbkiKHOr
e1c4FcjKmMXrq2ZO+l0aEjtV6/rdeIyzZfZCxaxxO/Trj0WmFAOnAGImd3wrmcEf+euIX3mElTIb
BCaOOqa8S3HP2h8IFp8bHsJ2v2bUSkvLz1/JBLYniWOX5PNKFGuZcOoz6grTlHGzqaiKgOhyRSHv
jNXTftbwaYLYN+BokGOzeMnfKQMYTb9GGbYaSCRUMqqJOzfvCWO5dvsglXhw07491NggN8DKxAEq
SHZCNsCL247UVTBeYpUfKyqXHW4K3Uq5j+sCPCMQnF3UMdWB111cE5OQd9Cs06ASSfVae3a/a7FR
RVDDqU9ntZh7v/7BC4muS9Sdw6qEfgIaY6KMzc702RWrY29qyOFB1vU0hK4+k73CWULD8GpqmYks
0AXwo5ayPs1TZD5Ypt+GnVjuUnxDp2V1EL98CxC/aRr6Wed5/MNZc6IofDe3rbcI3LUtg0kkofvV
KZDTyuij89vxxqyMOCwIbpwUsVwKHLIxP8xazHvM14w50UF3Qym+tIjC295KJIMlPYdrRH4G429c
nRBpBdMyKULTGgecWtkaMgDNr+wFntJmKMd02s45MvFIKeO7nGVxdVE6hrAauCK+yop9VPnm0U5q
GHSJusrt8WXBVXqe6/lmLur+A5LdeI0ITreXWVzq3+XNaNHs7Ud9/2bhbd6XotXH0ln2eW08VwQ5
80s7Q7xrq6g61VGZ7ZIGjlc8qvIJCt9w47uUrwpegocZG1RFde2TjaFtUyFUkfPR3UdbTStvbjYF
hPSpgEG2moJGsjYzsI1vXLDiX2j7wU0uGnxqpTRyQpBUjTLI0Hdz0n1t8ErghR2vE6kLmIrTDpCi
DiDfNTt6UIOunr2U7q11D70JWUSig6+Ne5Yr+sjFDPGFjT3qZpxFAQB7Oioxt8hNOVfPeOPSsHHp
3srFe6XSwziZwxFoEiw5OpoPVu3GmBuAq3nWTNwvddZ9gVFv9N2wrx3iPQp40QaXqXcihpgFkmKa
A40EmvBT0MLgCjhCBZdk556tPP7CmGZqlWTRPtF+irQP5LIrnfehdaIXt1Q0PQB4BEmAhSFbD0PT
Pi1DDx5SL6fBGJ+9TOq7BC2DS/vqD9iorcQg3kBfmZWfqZR9AN6I8lWat0BLPuOcMD0xhTbFvEfX
+eOgxgTNsjk1jnudOubZAN2xJbzbXxedcd1xB12To8/30WR57/XsZmEsS4q34y0dI3pvkQ37ulof
jOKK0CMuuTWnrNwSLCg2o4MnxCv79HGscfdR5vDUrd4zXlP+077lTfRtrpFzzeKVhPlw1VOnux2L
LsMemDwl0j9gBnvEff5ayfbYDCQ+SUHdWCrnd5e63qhGUwCkF1jPGbWk0hgzNFvmF4BEkfOnNkQe
uc94qo7402lUEUdFJtvwMGwbl8Rvq9EfsyQ6KFPqWxjUDq1abv8JNdpnaOYcgQWWJx97K9XC07ov
p+h7Tm5mqzjuPw6tjbLJIZ9HFvjre4LmEZaUMsVR6YR03BWnJS+oBYqm5LKVUu2OYJMLztQbkZzJ
oXkmQ3e/qs7S7uYtWVf2Kk1Et0o52ZjiOSL0U5pzqjfYw/CBM0mPx3yhKHjwJIO15vvm3IpaZ7gP
qFW3tjWlWyW7b7pcEffZ51eK3WeZy3FD0m9jNiRtYPfeJ6t1JnDxFY/bDZEUe0OYguYnoxEAM4ru
mCRrw0u/ehKDPW879HyJ/fAlM1FZTBd2Vlp/dw37qyqolVk73tlL0/OldbDIpDUCONQluVhShovj
FAcIDubBhlRFtDJZNk3bZ2+pHnGwoRqypNTZya1orVjc1giwYbO3dbtvlTnqva0Un5QgKbYQfeuY
mJaT0sJTaRXjD5dK+Nu0ntndKasIFyrQQsOfB4iD4lxxZgkzzj8nBvlsjsDEObK767CbbXA6ty9J
YzgwUSPsZuv60I5xHUZNu3V0fAN5Y7jtW2KxM2vHzvYjda59ifEku3j9UrNrb1ZJz3mXznkoFIdj
r8KQm2frbgTpGMoU2hyeXH/rTmp+xHbJ0aWChT4RBQnj2q3fZz7UifASOuXMVyrNsTnIxBj3vG8F
7oVEHGPikqeyPVTLmu2QL+VZLG1BL8aYYbD27GeSr+rZm51PylBogZUV9XGFJb4WusCqZmbGQ9Po
7js80vhu6Dx1Bq0GKRqa+R6Uq97PJQjMifQRuMm+3NmMcWjyTQCRtyme9ondPFEIs3efKBncGmOM
yCTARwK0ZcYHybUv6eBMmhE3EOUu9Gq9Li1bxZiJ13sUJ5QFtiYE346t0MARee9nDolHut6DPBPj
QbWVE2T0iZ1IkC6vI6w2DkwonTy+ocDFc6QVytpNmTMFXRnPdymObXaLeXMiUqSDqldfEgZRW13y
ja+UVx+kdhCnmKXkyHqo0FRAne25644ZbdmVP82hz4POWarsrmpQDjviiewrHas8kwpmg1sBPnJy
E7P4GsFlWLEzjDNdYEjezhU/B0MKVNv96kh9iEjHnCLPj5i51G1gpezmOYA9TL20vuVVZm7VPHxQ
F0Yvbx5/q4hwnds5obk5XT84jnf3/tTCkYo7wDa4AvvQzDt9ZYj+SUrnKz8Wfbnzj4kaqRhM2A73
9rJsSV07eEnQofiiuuRGCoPZUNWBsS5HwSyoNEymjqkiVocxtCIVGmI3wPHDoc/+OsZQHLkFm686
4zUd5RfYZDXi+kngTW+XTFVfmFVUT40x+dvOT5o3uq+s+xRS/Z1scc0mC0fDjVrT7o66re+0DPn3
zOPUtoFSvyltCBMTBILt4LuEy5rRvSbP311XdZvvlD/nR3isjERbeFMtIYC9gTYJ89Gr0PrN9LQk
y8rBrKvdjWfWE/aE9dvU2+IQU+Dxgu11xnqedUw41Hd3rumfodl1i0AQ7/C5NreFhViaU15/TakH
JW++lR25/b4AHWuITVVxe5hjK7mOdUV3YV2nV1KTfN3QkkcIuphHwOv2aOkvC4zeD53hFzkZa77s
9QQeaWup1X0x0f0hIk/u7Ow6ojU/am4yFxvqkjXXSTwsj2uJnwGDg9FFO48aETuwkbRfJuWMdN9M
nPTWYX0UMrb3jS54Oy44JFFNHjI1smb6Xf5eRhDpMs/EYD/P8U5Uqt/mfeM8RXl1lQ+abj2zO9Gx
SQQp593Bs1qs56or/V3mQjXZ2O7aj5ukAqI0uEX9zA/qnsqiql/Aj1i3Zl3e4G7Lw6xq3GsnwVtG
0wQoXnpRq9eGNOMJxrLcrbZbL4Fdt9HBdCL9NLXL+pBHun1Mc8s+C/ihu8kgYSrIspHvzpiy90VT
HMzGh285uOlInCRCesZHwJpYCt6/9AiAp1h9rD6xOxm71K0xVRIqw0gzjFHYujGz9KXNo4B8t0kI
eRzxL6m2L0I4rc2byn3pXL6T/NFl/bkhAzJ+0vZggMniMAm5gi7ja97fSR6msruPKBgSZn6vPJ+k
v07IfDO/xDkvYtoQxjsbwlbAJEdfuiEVEQPjhoE7sFSgsL2OWHjREULDmWg6yxu4leBTLtB8bBr2
1jcoiMULS2Bdw0I/O7BusRP1zy6No0mQ5JbBAYHKPcVR6uBrT267Lhp2E3BZtLJhvOdIGfH8l5jr
EkPt5rbht6Jml/oudjfOOO8MMxcX+PQHFif45+Q0UK2n53FJDgQDpj2TWnPje5G462XV7ywfY0Y1
Gvm2oBUZ6zJaOvnM9mR56b0aMNvWWp8iW2C74m6Bd85UeMdUZzy7fSa/zzVG+aDMypKKLLG4+6ET
FIJGohmubLcb967rgL+MO+q2VKb9/bjI5ivjj+ZL5fXDfTx5w4vne9ktV55zMaO70NSde8tebtpi
9/VohajB6Gr5OSRws/3VnG8d7K34q/wi+s4Mlh0+MK3mqrJiCMs2a57Y6N513ZBKACMHmNY22Tav
/WH4gUmb1ldhRivlpxMUnn3pVKANeqvxn3iX4tPFtcM0y1lGjsE41rv1OPhgPdh0CyRVbwAYWrsl
VIM8e8oVSBIz8drrPsZgHImL4hJRvbfgKp4LspAFeXtW/qm/d4j07svGFBdwg8tfTawujXsmeo7r
zgzR2cuC5phbWdwCld6ViRQblB7I5V0VOI2tbyNwXkOf9VQuZDtOQLhPu+YH5senapj9JzC4VAr2
8QK9N676MnDN9YVY1te1v7QbkvkIE50GBFUxhzSwBeolTU9xzUwIQecYF6nxTNAphYjL7JKxe75N
kzU9EWMLyjKxw6Hm1NXGTnbwyJOE4FoNBi/UXh/ZweLYSDsCwKEYeCtu6t7D3+PAeKq23aXg1u4n
CjY8IxnXDaqKcVP3ZIdCYZTMcZhoJA+WazlXbPrqo8xUvRvSpHlQmnoLsKQK3yaGDlRqBh7EXlcK
ae56q7JNFjBLPYq4wSaaxxwiO04rdWBBvTsZYI7owqDvOsw9crxtzFhTTK564XOtIVB8/P7tSHmz
tWqaZTmxFHeRiGsGN2trfSyyZdNrNIYfNH5lUszjtc0TlTwslrm+jJBzK7J+2Cq/VEF6nkHCtSp4
vTEv+erMufsyLIl7jSJVnwssAvcIn+5RSYIWwonjJlDO72V+hg1fdyh6/1UvXs1Gxiiro+ANJ7i3
KYdm2s/QDmM4z1am66oNDNM2P8mWWE9QvwUVNFnzI3dpkNsMfg/9pBUUSnRtRn1A69v5R0sY4BjN
y3yADJNiGHSiOMgTo+e9U6tv1PG4t06TFd8Ll2hklMXx7TjX9gt8f3q/+jEu3zKiz6emtPnnaoIz
sSnofhbbuSSO5JMBwQUNBh0Tpm2+9ZQzHibaIbA1ETm7y0XENMJrezL2q81sNzFCCX74GWjC8KOu
ZP2MiBR9LeOyfjV49ndGz5XPuJz5UbGTPCxVun6Nljp5AYV+QQCD0n6VnaHemALb34p+6bcaakYY
WWRh7J4t/Gppd1dxi5waw7Z5pdQZeOdl/kHNCekb5jbbSoA36HuPbs4F+86z4ZTJ0ZrFcu6myX/N
TJlvhUsIUyxeCuOfRBI6xtCETd1FbytDFh6AumhfvWqITit7bTbVK8UJORtACjTKPglj7Tzy8qo+
dTXWdzAExB6xwbA2jtPFO7Z5Gd2fxjcC2KImWcGCzP+iJdyMi72O8+wGHwctJyz77c6qm/IOuWzg
lBcz73LSgk1JJcuLKWrCp5YvhcfFcRhC2rLPLsCD4mhPyyWflwwnQhLNB/0HCIM1+BnwAyZ4nY30
0uKRXJ0QwYCP/MyC4TUB5TDqTmKGqvcck6ml0rLlFF2XTlbCcipy9tnQVt9NGOZfGFhPd4Q92wdH
u/Wn047FuQJqf1rJj//wbcc7R2QtrmOwE9hMieL9cMYBW5jMJ3tjUHD+eglHvmRd17vUeLgdqa+0
HavtMtlU9C2VpQ7cqn6AIdt+7J2WvoAL2iMlF96Le6Mb7OeYlPBHFXfPJhHxbdWzI9EL+OSNW8SA
uywoVHfrOC1vZe8TY+yYnY6XdAwrDKP39dAPjPUcEs9lyDGAizw2mg2GoZpVnLKktcsgGUz4g5Q0
pzfLPFA27aC6skbEFIxa1MhfJRnvryBnXhFOa8utU1YES7cS0/4esDtCdOMZ4qxhMCBbVaO8ESNp
ddY4uicc5cZvY9dE4DC6/sWmKDQLQAEkRxLE9X3CF+WFttfbTz0C4bITZet+sDWyNQixcnnHrTkx
XCkaKKyNW+IFRjFelpC7Oev3kck7cwOyAfAU2UP1bax9kkENW/6rOLKmJzVc3my+mqA+GUztjcr0
TzE4p66jMALleJo3HK15Ttgj8QkQE0zcyVDIxWWOPaPjuK9xsRYfXTxFjCwHB0figlXENK+dgREm
7wK7U3sLg3wSuEywJQ22HYKHxb94NAetMUUvtlntmvjC8RpNtx52dpIyOuvN7D2ih/LoUswrt0U8
CJPSigsqpYja925xKSuabSrMNNLNcoUDuLhUeqiXtUV1QMTg8FZCEMnp4M2tj6wYxBUVnGDOpnW5
BCRKsjO5VtsiGxaskohA3JLVcYpHhDIAN/6d8hlnokGOvE36qH9fs8ZkiyeN7mvmJmUwaXYTVMT8
sLTpk3yy/RMMDv9uWi3gS3zs/rR0fXdeltEI0Go54y95aCusnwZq356zTZ0EnJqbHy00BpgYxFvv
Es+5LdB995L6+MekLC04Or0xH7LSTHSIbg9ZprffHHqW7w2V2e+GYrRjVuJ6kWb9MTpW9mS5SSEO
61T7DH/t9oXQSnVtxLV5U4ABu48N+SsjxsX+8GfLiy9sXFC8uAGl2fbFqPEHM1SSi4u3v/UuZ3rE
U07Md66qiakNTcp7m63qLSGt7Elozav0Xxsm7L+zS2BBQQWFkozx5id/zyoNwAeAivaLiodbXzXd
QXc9KoJAtrdAmUE4THi1whzTH9PKK6UbRypmdW6CvOjf86bHjeqVDDvJv+CdR2CqZmWFE9t49GZp
3lE3YjGWKRXFP7xR10On7Po02RnA2D4lSkuvy+QwG7RwahXbccpX1hV2wLzr6Z4g0i/35ZxDxMAd
FCjSnvDHcK6KySHufcFETYt516bqPatqe0sp9kCfNQt+VtOjsOEwhlVq9qxfXDr5VxshBYfCty3L
kkwH3Z+cJiW3EpfPZreOh5Jzg7iz7XmptxhoqVTCsjQteDNwj/NWWkYK1vpxCf1ixy7g4jGYJMS+
2He3ZaLJkI+l2mW+pY8QR5NtPRt07I2cd4ucDbCVZYcqy91fGHP+An/GmeM7CFr2hfWNP+finPvD
rQeBK2q03/l70TXkbStfr7AfVmDJqzHcm7NWgeblvAW4mpxMIcZPFK/x2ImLW4+Bm2MSB5f9JBh7
4Nv4xb351+cCcybEZCnpvnN+NgnS3WwoU9HiQH8Aa+hsxf61iKruFz/G/BnCerkIEFjF5RFgaTd/
+h4bBGO7jxp/j/wJ91pL1zgQ4BuDeS7Ud8kBnjUSdFZF23MQjVrdp2xCoe9MbX6FZ8e/Bd2VY5vh
YWmcqrwdrJEwfR6txs5OxWMz5P3zv740fyECs14L03EE1kmbPsMLK/6PX1xbtCsDCe493ZNV2kAN
cvB5MxzMopxgGceQZz8Hi5wCigFgCU4Q132ii+S02IsKMDMsHwSo5+vff6//bvv1OX3v4Ob+GP7z
8je/12yOqJIZ/u9//umf/ieZtHkRs6z/1ybtp2F46/7jrnv7+OyTP9m0//En/9nDav8GXp87EVcn
d6W83Kq4L4b/879c9zdo8vLyqEpENM/kC/+nTdsSv9mmo3h4WYckCVj+UP+PHlZp/YaAwY1tcYOb
toDm//s1jj/ru3+8gfqf/vmPqPifabQmQyBcP5hb4UxJ7LR/vudIKsNUGB29b7LBf5jGbrmtKMxA
0vbT7rvhrzwNglzPrxYp9fsb8I9vSNO38buaGM354FjVf/rJRLZyPTt4MZTNOCvtLKd5K+UlF5tq
00b4aMw82abdNL4UTdbgemADn5PNKqxxy2hZqL0oGg6mfWcVhGcj3CrEcIjgmks8kHtmiy96JJVt
Xkb9eJikWXUXD5/B7mAaqKxoam/5bk3txhqgaO45mrqvJdH5N2J//nMpsjLZoaXpL0tPXj3IcSld
pfTKpowQIuYq2pTjpTk9DVmIdeCV5ZWNaks1Y7hMqwL5VX3PsI4lAzHKtTbroEeNZsZoXvfdlH2h
L8/96sOX2VuRkYHTbJDnE1ZPIvixip4M2ClMYGOjPtIxwjAkWj7d2sn3YHDCSGfyOCA8wThI7oho
uqGe8bDwdkSLMKvnNL2kBBsGjOYkH7RHVDn15T2YFCo7KHXeFmXNEQ6L8C02SUaovGaJDiBYTyN/
sGudsGqYVMKUBEzYQHXoZvnWGLz5Yt++Eg4dRQnZytjq9lVUhFPXMCO/vMjR0PZKEUvtnbXg/8SM
Wkb9dMvy214LEoDHNWIYERWQAIZ6hDTGpnJroqZsx5ipxEC2cpdjJ0YIjIb94MTjUaJ3hHZqOUdb
uIpDk2x3JrsWskb9ZU+TyO1K7zWCfyXJlWYjalVcnuj2AfnnFFFAuCjdr1Nn7LQkLc4sOC7QQQ37
AzYKnDaboirXUMYNFSjV0WRff7+sRZ8TRirsAFEp5cx1OUhu6Py1YIOigsXE4lzbD8DBJXo3WXb/
trhkfbYNSWzjMkHiSAA19uwuqfm90rL8oFAqc7d0ITqohskErbPOrxkx1rAqOpHeZPL/sXcey5Ez
aZZ9l9mjDFosZhNaMMigSIrcwMgkE9Kh3AG44+nnRE13W/XYtNn0fmrxV/1mxRQRgIvv3nsuJmZl
+jOZTOvEuL47gZ5o3wQGND7rcoDRZC8KE9BA8GdZc5kD6oK0F4a0tITtVaBuuSubbDGjABSyjYtn
696XFRQI7Xj1XY0zdK+drhb7ysrjZxFYA0MVhi2bPmwWdxtYjsJkGYXxxR68nH6f3kyPrsW9wM9y
k52Y3jBs6e0++pAqJs0EB2oB/+i1Of4cK30yc2wfbfqHycr2mbgDbeYeOQKTLcztODv4Se2/tBjR
0Go5qXL3i8eSe5DxZw+vTVc/QLObXpOsJ8XPTjk/V6F2vXNm+cO8jQPGmiczK+en7Rk0hzAPXivs
k+NeCQe+Itn0ZOd7gJYx5fUkPYl7BNZTTOXiLkz65VzJGJGOnMTA3Is8KbcTNPCXERsRltLeOg+d
7ew6/uOtye5H5FshxfHng90K0oviHvMNlvNLivyOutN9Z1v+jvGuBzLKrQ9TnngPoV8CU/LHu0Jh
DImpHbxLCM2tFgcXg2t3eDM5jh3Krr9vwkVemVd9gyQNcVEPAsZNnR3sMuouTRTRaEYAcRcZQQ+v
iLgTpZbaa0sSWFu0u1WzBtgGGmdnhBXe2+Tji40w6Q2sW+m/QqRESwlFFucEp0nOAxy7MMAaUoGr
wQTOV0T766l2x/qMJvOgI9weMFUZkmyoo5DhT98ap6YRqDX+Om4wa0jaEpTIto2StAuFTvCryg23
1GYaH+lPIQyfF2m8UUExMQRZfjqvZ/2Qre/vcm74m8Q10WXy/HXgV1RpJtrKtgAeqdlThAsthtQo
zd7orW2Ark/4rSrvZcJKCk/KVOoIw2v6o2AC3DNYldUWYa4lOqrMQ4w9eW1Ui4BSejriyUoHrpdT
9hVjit1YoJEPXkws2Qkikg9UBqJZuy5m3zY/B3yPOF1mfgXNA5yR8qZARK4pfQXSgrOD8c9J1Xl0
6fCqnsYw+MvuhMW+Tbp9PfRZuQp5UuSxJDK97tK+yrbDsnBsLGTmNBvL9MN3gUULVaAaQDyEjeQO
lZaEkvMBrtAqRl6/6HwCe5VVb6oYqm2NpvZzC0zvUad1D0+CEq2gn2IqPsC9+SSOp5ibRyXQUrBP
TdoZDlSgNd8cav2r1H36ZWqcv8+yFyyzamly2juUZ2uG1pgzNx2nAyqmaH/dVt2Am7JYvHU52l9d
HkCBEhIbD0Orc1QkGz007xamcoFlQ7p6U0ksH9z8Qw/muxjJV/ldHNOm3BfqZa5cTCApbPN7yNOz
hoo0uKt6mvuriZvHFLA4MI9i2MhOWNda+em9tm6+O0x5RewjcYNGcBhibtw+M9ssOwrsFduZMcq5
7NmZAigeHiAj/gr5JZns7z7SfwzrO33qcOGxxptjsSQ5eKjePVhWCp84w7XsYqGjYUtvl3EI9jFg
hnXKZJXG2IwvmYKZcxlkr5mH/YgrHQ9AOrM8Z4i3s/Il+W5ryZ+E7swWjXxnwdQvROgwUx/duxwA
waa2lIOPNSq+NQlqbtuTutSS22phOWTMNVAYoEbuKpPpsO+Y3Wz4huYtZ0EP8m9jbya9/ErriQ9S
gHsSWCggjzbppY2ndo+I8msOcuuFMcZwUEkw3o4a0aoMB7WH7+bsWYHiMyxL/FgVhgF7JNwDwTk8
hCVe47xMrlQH8/oK13/QfO/2XEu1dodJY62pwmJbEWCFQYn10fMGjxeeuq8zxwX5UcS3LxVjdgCP
o5DXsOiQUx18V9u2SYG6RHb9FGFuPDNwq/5KHdCOyZZzxBg2v5Ww6jejq1uKSAMbZ4yvxwY/i53+
tfMFy0NAiJZAhtuRV7bTvTXFAXpM4eTXzCIwva4yCJVUCeo9rj8PBvPQ3zGQ0A/UUFbzCpRZUvB5
u+EpAz1WrqapFKfMHYvnjDKGsx1PzgtJi/SnlilG/K6JxZ4e6qJiYXLSY6ns4JTxUdsA18pkm3lW
ceJVAV5i46Omyx37N84/13klfJOsGP0QA6a6GA+TW2ffyG4EBmpqTlq+hEZcK5SRFzcKy0ORS4y4
ulz2jW2mdz9Q4jz2Bnz1wvHh3jSA7Fw5YotUuJYTEJ3e8lKVxvwweRe8pnRqPw2QCZ6SvO2IhhVh
jh4LcWzmaL/jjihfY9Pa92neNKecgefeuFOPZmdoFwaWE2bvhd/76Fl2fQ60pV+mWfiHqaGxw0o8
xWkyTK8eFvILpGbnDAQvegfcWKF79e2756dHiW1+FarsfohLIExxZi1YFIIp5DnzMbsUOV3drHjO
KnSXAnMc0E0dATeBzsmBZ04LvY56bhYwM7DDQFdmFrqCBSbu04QwP2OVfuVOza1m1ChUWGs5EkKp
UKca55cXTrQVtIPyXtJ0DmFU4RR3rmwR7G+E3SfDAuaEGyFBztY19bbJ0iS70GuYPTH2o+bTL2HX
Jp9l0TlbXG6ofDH5HXcqw13fd/k3h5Z6y8yb2HW21ChbozYNQuk8HLt+kh+8tLDSEhgaS6CbfTXw
mzDSdm+GgmobCDBEIXVJV+wO7v0s7Ul/tp6r+0eji75+tkIqrDaKsTxOM2aj9E87Gfo1znudolpM
2OWiUZEPDePJ2gddC1jYn7MX3TnF34WK3D2NQRkGr9mHjTXY8rFjyvnBMNt/GTUR05UZ3ATicJYs
eHeK5jkTVk4DS1ieLKJ5n73vqmyF6l7wdXSkp2wOqD+kMJZTNrc0Mwoiok9mcFgrlt5lgebgzaoW
qD7b97piycZIM76FfN2fVRr5vwKSk8NLLPxQ3ad4FDzMmLMLoFTGvD8ChOhNLWRaEWRm3CQC8xpc
KccUx87hIdyMNJKXnNvlgOvXkMKoK95e6Fa0ILTsh+fWoREAtbHv7rMB/xW9ip576a0ORiT/oBim
nbqM1MfoMReZ8z2T++61S9zx0+VKBDmg65+GwH8srGmT6Vpu8NLEZ2UykFY8h6ua8OcnI+z5dwbA
+wixs3gt8Te80wUTwBBOjP8RFkafJjWb3ZTE7YO7eOEj8T0EJyfT6cEvwaiZrjpyos7vNPzOQy/H
5TDyEX5OUTbdqdYKrzh7hx0c570DmOehQAQ4qdAlmkjj0VPjW/4lYc70zyprG3W2K8xKxz1e+qg2
6bkdiBL5QZRewGn/HrP825qEfhw7Bmgr3Q+C1dqVLuDlKfk7xh1uylEUO98Ns800u/nrECfj21zy
5uDLVW8l2Y8N+Rnv0gCoOxW1Lx6rW/mbD+TA7WBKUldXX2sxkQUjbfNDoBrmdja7hwY152XBQnxa
Mhua06Lm18rxSiimVX4vYYRf22XwtmboZbMVTqfudOrf1N2sO4YY4B4nBgAbj9YStNpy7q6kM+uv
3rj+I81kameWW1QvboeHCdoOQMb+bbQ1HSc6dg3HA+HhPmyTG2/QuLtqVMtnTixs5ejRXoOu4Ayk
SvcdScK9TBNTjBo/zHtBkOF3SmHyPsg4p7GtTk8ma83vgrPYfaOyZbvIVF1GUGHPilMeiYLa9ncL
OvjJ8/3ukkoe+Umy3kddO/4uiqHZposqPg0OcRTqhCu100wR/AQua6vJ8HYV7Cob7AewZElMbuM5
mNY0HVCTnFa7pcvLS+NN6St0XnkKurR8JUjABTUPBTdBQhtxR6JR5J5zpS3Shb1DiNyaRriopnMv
OYL5X3/WpEloOXBfYs6T97Zgz0M4TL1voAzcsMYBR5+dyYS5IhL3gQo3+qS9erKw+qpqfBt7YA6b
1vK7N6W7PuHepZ3nKjDdSzS48rPEhKZXUTXSgU5EpnmXsk4/Z2XTYpFkrC9kj4bwurD64Q5uqvAO
ryDyI9WIAPdJiqSfmZq5XwVj4X1NYRO+tq5YQINELZRwp4PKZUdvLSLxmhxUe5dxUiuwe5iSP1Ap
NlUT17tiivynxGL1dsIhOPBJyofBkdOFnJf6JAs4nR1QaSvpxulWtkV9MKNndktO4Ze8QWWhM3XA
4u1il1XCegrqKliXaM4rJ1pjIJ9aQpFt843PIATYQ/VIcLDCBRp/kxBzGrHqvuLTAzHSVbr4O9k+
bUCDbbYGPY8M4TJn+D8aei8r7pAb8jLBQUaFhYlRzRlnAj/lQu3m0hf0C0zDnYHj8eEmhfMSlQ0P
UOEs/Bks2T6ZNpZQf7KsefVF/1dWRU8cDKjnJwkb85dkHemzwGIZghYJS4SegmCyrD3Myq8qY7Dl
tIi4kfmsdWA2OEpoDFYYPagasG+HsdcgUe1NkXu205mYyVhY56wEeJxkLf3ESR1srLC9q0aMc/kY
P6lC+g+pl4o7Km1uVUw+QRuKxapjoJrmPFM8cCy04XGwGPqdFjGMgIBz77ZNiR0uyn6TACNjq5K8
adZy1hQPXgqKVjYMPYa9k6QwG3l8vjAKIcxXTSv4+bo/h7kdXCZuUOiSnnoqTXQ1S+5gPDUUbKcW
pe3K8bDHYz4jcZD4BDK94SFw7YfbTOjDxsPdrUQ3gzGFHFw+cLJDX7VZry55FEN0J02ZQxG94UhH
PLiY6fTiM39b1MbTef1q15R1wTcewkeOBrVPwKdKH9wS7VfNkTwon3x1SR/zxpPE9+PU8F7WUMSg
KIl0B7K6wiI0tsPZH5glkoRz07c+m9wdRFz5URrPvpRoYnIV5hYLuD8Fj14x9pee3w2NuU+vuWN7
F7uDm71KkzY6E38lPNGSH3ILI8+dsrtz4RfxU+jU3a6ZQyZ5bsN7Spm7emC4JhXlPLS0reJIVNt+
wmS5Wvyu3Ga++QOaCuSTmwFfylz7G/woLlTwv88hKxPA4dEF9N2RYwuXuNqBKM12Q2AvDze8xR7M
GPg1pxTxhdBN97hYmD9X483RnFtec4CgvnzqqY4IUnTlL2JmrIK6lT3zxpC6BoZXGPOsTj5wJ3Bf
w9z42N7siTMXxjxPspkB114hxuNjqByC5q71K1aTXJUGMKpjRMa32RFWK3WtYZq7kKxMbB1VHXYn
q4Vha+BT/7YLDiCovqSJRQlxOZEHrusoUaJ/mGy6pAZIGexlmo2Ufw2Oyo/FHdGQeefVbKebJi87
szYxxkTfy3nHcQjSkh6bdD9W/eCw8bjT/a2v4jUMF+c1nsnYEpApgcL7wwLVMCwLet8asHdAz7uX
SnIY3xWB1DQJRVPZ7KyaWd55ynOXkWzXopcKhh+YVKvMeoNOSujSzktmzxyiq3WO4+JpAb1XnNso
LJ7zaMGhQacNw94lgFO3Kfti/FvCC99j/gh/V+4SPsU6aZ1d1NRWvy3LMKx3ZHJZtyi/InJR1/Rh
rLFWeU+Ygzgiz7TEgwwFWP02+l75NVnYs9ZJPNsQBuSQhqeFUf9L4S/Ne++lhGXLpn/Q482MlAW9
fCSEsjBuo9H82s0M4rzJFw9sNx+BU3SbNJYVIbIk+W21Xr7raHVFG428k4xd8VrCy0T7inUPjS4H
rNw4NYMURekraQJiUPo+LGSEa7FN2mfC+3pjp2Z5YXwZwAF2o6tnQkYM5RxjwBkX9GvVe/E3U4Mw
WGeNm1QrmwaIlaW15W+saKagI2j6ZT1krX4nJ8sGwQjVXJTw6UrNH4sOp+2G+uHkpYINDsEJ52UV
DtWGXj9NLRo7wUGyzYhVseTqK85LCZzK6BG8WStuFrLGCh7jzvP0qptNnVB5YCzQkB6T2s3Uxpi/
Pa8l6WOMe63hTj56xl3eGJzPj1Y4EgtNnHpfwH/fK9l5v7yq0g9ep/xtEVsEKNrCpfysDsoHOaJi
bts5Dn+rrso/Ch3WZ2U503Ww3Irk++LkZINjjeriODX/hK8e3JuCU9ZaRdb0jhGPNq6Qw/UuDzRt
OnmhH3Qy+IS+fNqE1xUfxGNbwtOG0+Vm33SZRbj1fcd5zlIGvbgDbPFcFpG71VbKBRpUHGjlBodB
mBAbw0TnBfdD68inPmspyCS2/2AsCrZWJi36j4W82n0IUZa7fB+HF1veiPlFc2NwFap3fpEad89F
n4T0T2LGyXHsMf+kW0VEp9JY6Z+CaO8nHkZmZZi3uXtOdj9jMlsozQqNxzVuGab6jadtmtaU6LAT
MPXUD9L20j+zpW4LHC9R4PB/ilBtYbqr5WK7TXSiaMbeZ72QZ9Z2NiCZ2N/SH2FxJi0739xZ1q/Q
KrpHHQ7RSWN6vvPBQh4XLx//ytEv9iGPLcTX+Oak7pXWP2GZArSsxw13CDLTCifyofGX6AR3R4CL
aOtnEPTByXLpCsN1P343ZU9sZQkNTvnabg6lH2nOaJnoP53Olvk2G6P2iSsS0++ukWCOvPgx5nT2
h+Bf9Ly4A//A4ruj/aJ/z5RjuOKlCNBxEVFxoiqbIBmf4XMzS/WHHUjE5KDm5MVaHA+IhBjcYou/
4TqKSD61bRWgHrC2AKYfff+c2EpdhRfV587hh5y0JRKGee4aEsMNVrYR4++FsdptQ55covWQxKHZ
hh5G3rl+qkB/lus8Kd3uGez38qgrJLacw80d9qfwEXGrOda2k9MbSnmLW2nahKaeq4bfDtthcCBL
53P6ICYTnvix7IG32/rSDmxe/vWddiuq5IhJfXJlju/HCKCM0eK7x+0uKhBwxD7itUtd9SXENPtc
zB5WcvIh1Bclz4YGom2FXYqdkdHlEXZtUK6w2JC7dWGnebB8Ib9FvDymUxu/5r1eDZacdxPXVxSa
kQmHVYj0qDi2/47yltw6LgGx8j09PPkc6LkJ1IEFGWJkl5u07k6wS8iNGLodPshJDneoq3/aATfh
qlMyeMgzN7rMYes/asYZxGpiAhAVRFvFdRf5BhdydCJgcWBVTa9t0YCtw/e7rYbR/ds16WStpH1z
HzqttIo1Y3cCMRV+HLEOOCKcR3qI3ryMLSsXCUeWnAln5bgzbkTUlhbfWveKnqrI3TvtNu9VeyCZ
Gm/syIYob+yYEKxHa0CTZ5jxCqXEb9Lj8oJ2OG7r0MR/J9nI80yfI7NgJ/6wo/wWfxvr2FpX9pSc
wK9zkI1KdCtvGbnBuE4+nyV2v70rem8To+Yw7u2Czy7AKEyoUFnH1JI8kcxICkpmK2xKOmCRS6K+
I30l8+egQfOBkz2/FJH2v9vZ6C9aUtVLr0fqV8KK3vHtmFLyFyYlscLF0/p3X6Ff4g7k0sOIlKPJ
IrjjraaSxXgaYejxDCmIolml8gtdH/ZX7QWx2M5diq8V2x69mU0SHtOW4h/+UtbCo07cMe8wDZlA
ZexcTdZSuoYLfoOzGJxJmdbmrY8rF90mT3au27HnY8tW2xQEdbpuKUpNN6RKlstYwMDhiOpWpyjB
f5dpEkCroDLRn8QGtbiiSYZDXaXx1pL+7VIKyBP6FzpR5MQ4lFcpHnN2MZycZBhWYTh6/V2iNb9N
VfnZIZVtm6zpW3GoDhrQUdymOuuJ2NFKpZZ1ZMguIsDEN0gMMpVTr+jWdX+h2Xp0ZCKI4pSioPW7
n4rmvkNBfWTz4uwC8HRcpQFb+1HZwqk2kbvod+bN7naoSuslu92ugDwtuzEj0rj20Qe3c2FXG13U
9iUGE/Rd+e1tE6Mhy0qrgaIREpPpLsBFsE4YDp8XYTuUBfb63tgo3h6G5w0eaPjS/eBuYyrVeLPA
DdE6/kh9+tWDeMTtWmIMb4aTSZv6GFuNtYVrKjez6acfpwvKy8hx4p6wIevXQvtfFNlYDafOXacT
/2sBSZuvnFHa7zYeyHsgj9UFmqK7benYjQlBTBKAVaDec5jaj8M0NXdt1dMimEMA8F0Q/zXopz91
h8E7o5ziTozYClN4CsMaXHaxGet5+SMJcB0yYLzHYWnnA+d1xsSkyYPd//cGNQql8MV0P//zf3x+
C9SagpKF4o/6V4cPpARsOT7Gyv/aHrT5qfPi//5D/9sZhP8H/HqAzycOWfH47/9wBoX/ICzF/DfC
n/NPa9B/OIPc+B8xhD2cc07yT/cPztJ/dwbF//Btl5+ilI5KAsiL/x1nUPJ/ssTsGEcQJ3dIccgY
RCn+szWoaIJO8Me7NTzni1n1c69eximb3/NJTQ8Ue7+MFsW5jQfFAsRO3p2ND/0pwBXMizSX9Yeo
hulz6NvimFbJuG1qjtyQJmBG+IrmXroNOBjZmsC14dh2mwJmhah/uJJ8oeuGm3lJrG1fqmrDbtZe
KaZNXwDi4N7oHfnmtb74bDmgbyzXENSg5/Rq2uCpauvpXN+GkYBO5ld6gOytTdAdlkjCALpS7TOL
1ru26HpwGMoAk+71NrSseW832GXQg7khyg6RwvTPeG3ybX5bvzhhJ0+dtsicj6p/9gUNYrR1iG1G
oHUVDyo4FADN98pG6HKNZvLjpvXfJO2aO5i1+VccQnCPjVRfIwmwl3J0xb5M03CiwccDsTx57Bel
0GxoABud31WZmzXGKvo1+xhkHqU4YGiWsRVryVnxt8cttuO2FxBI6cHyf7QOPVJ22s2c3TJnQN2f
gkugpjJY0ZN9q2+p5TnvHQICXrxg11mSFoLQ/18S/l+WBDdMbNzE//V6cB2b8vPrXxeEf/uRf1sN
wn9g6buBxz0k2hBj33+sBjj+4oA8Ih6fCD98gqP3332C7j8CqhKiJLqZfUP3XxaDBJqr69j8YBDh
PLT/e4vBP9/2f7Xr2ZQgBK4H39CHtwkY4D+vBllGZ0fRuORGx0keBqcaPyFoEGaPPbZGWr/Pc29T
smb57bmZ4nwViCY7DjouuQE0DgJPwAPYmOCbeSlROj+ydjh3/Q0gK322qibfAuDH/hIE6ckXt9mB
Xj7D0b+isW+8EZkn1OJsWbix5iSmQaqlPH1IinvPgDabluKVarLvFIuDB0jrRBC45zRYOwvpzErv
enLWa0YQBXWNEaeVoEBl66u8PkHWay4AmZeHxonEH6QQWtswc35RlMwxsvbnhy4xhLZuSNtVF/rZ
q2tPwXpgV1/7Ziw2Q5JWvwMx1sCl+F1p5qQjpgJ8+j3ZnOP8vs3efCHno9W09G+E0LT6RkB5qtpP
ksbqVDLDOs5DrB9GK46psAm0t5KorZqwpB6vea31AWG+Obe48/DwyQAkTYOXJ0fl+GW4L2SD1s8F
zT33MvcZMacYBSwRXV2/mX4pQrw/fV0M70U4+4/C5sSIkp1ci7in+nr4p8cgLZ4Ry6l6cc1rGU39
lbSc8+xVfXAc+azPSqTF3ZTHzeucantf2La30gw6Njwa66Hvy88Zxeo+RwGbYW8z0gG+GU3PflIK
0DX5T0oF1noB2beWY9i/I6mla8s33Z9wSf8yQI+XTZTot5y+kyoPTiOuhS1CrfNIJ6nNbKOsrrd7
5zuHve6OeJB/9sTgwegjdONzMVjJCgQlG0nOCKPxyCcvXQwEAFzwny4Y+31Hh+JRaiAbVT7MJ2Hj
OJmRnA84jMRaIXofgROhLZroJx3OjvsOe5XNg+HUs7REe6oD9N4lbaJg5UKbxZtpMsYOuA4WvKcC
LnrYVvdJvsh9Qo0hhLXaeQAYO6wz4uEk8hdzX5sk3WQ23XtELBEkQS2svZukM+KxwqwZuslFYMSF
i9d2FN/nKSUKDS6D2gr/jrMf36sxUtve7ZG2Vc9doXX1UXVtfY/t4Ffm026aVESwiiKCR2WG6CWh
D2CH4a/+ZLzcr0JO3wV5K4sKVTAg23IgItRT/rVbGgJq2owoEMbuN+HY2lt/AYeTFaa/CKq6Dm4P
Y7wuweyJJXpgv9wLyi9XEfvJJY1TfxOUMfdEgB5Gd/sluxW29kh86doATVjPbvsV5Gbv+DV1S4EG
vzTa1WOnQ9hCFvUfFXspU0f46w5hKTctmjNY3vijQltgBmw30yOF3vMTbM8PSp2/6C7eBou8k030
B+cmClRaxYfOGvxbG1TK4nP7FcUQo3w4RAO75QlYwlPsoK2KmmZ2husGcwgjQG9mSg/NtF/rQnx7
QXs/FAsnA0V9rzOG1lMbduMbdlb8lU617IcqtB+itlSkiRvnbJeZOpHs9bej6qIfFVfpLmxRVwcu
TdfcvjW+FFHy7EUun6r2XRaPBLIN04o12DOuMkt9a4cyM+WGS6ffMpHGR+osiFJXDEVcO4LFFXEl
j6pJ7ie6Z45VG2jGVVKGR0kyfJ+O6XKNsyXYZRFtvKmXRYzRjCZSx7dtqgB6B56IlWPlal8l4FKs
lDhNh0y5d8eAACZHka+udFATTdWaOzUgRAtb6ZNNIvwNu8qyntqqu1Mw3U52r5tTU88xxMCk+ZqD
Rp1nwttAJSr7iZecepMipxCknnsQj5rh3i+6ICPuZabutlWj4Wqkfh5zD2Lh2+ZF7O1oU77pSmEG
GkT8wp/dbzu8u1bNYIoP4gDVLNqwYQTvU2M9jnJmXsnfHBMBGiuJ68lAY8RTU74PmVgIyMXlTW5V
u7Yt40061IkBFhTQajbkFEsnI++/MsFaFiAHVRPYVxnV28oeKc/IkrXFRARdN7pDGWIu7uXZGqrD
uVxa2o7p8G2WSZ8DzqE+U01fPePH5dY/zt84mKvDDHVyk6YT/YXFY+lBkeT6CswspqCjkEjLCnFk
71G7sfcCVvDAKZc1KPN+O4plomFDPeZT9AtHPnjBiV+AwGxn3ruSZWMFS6kMDhPyFgYwP13b6Myo
sgNH0BvTjUH474Lj4ZMdciLmVwf1DJVlyj4UND8y+i843u9dfJwtEylaSzKxlcqyV/ilca1rmd8N
lg2grq38Y1SGEHX5m78FIvE+pFfOm4IpxI02Czwh7Z6poBuo6GY4s3amCcuRAL76TqcB5ZpE8h4i
Ybpza0XqRyQ+bNtA37ZBiGB1JZqdDMi3En9JnmRIQk7ocRva4/uIoJKWOKXmcrl3RHZph9xlm8W/
nsLmAHbaF629SUsWVe3YJ6vviaN78s7TZi00woVLbHUFJwfKerkfuDchAJRAaK1KUFq9qONwa7bV
yANgxjNgseWPI6Hvghekt2dVS3d49rK5xzH4E2lv/su0Pr3HChPjZwpcpjZD3MDZKFS4adtZfS5s
Qz/lYlONgsfpSoqBk7YJNQpbRMXpi2hi9VKR7wCfaipB6xNF949msiEzdcFwoacq3+AOo1mPQb79
ytJTbnpIBHvZNwAQXMNFxW2czUKh72a89S0aQNrPOC/0UcRmEfswM9QrMrB4ob2MTbqPH2IroJ1K
xNYrkOpl3bUcUTK7+6k7rV86EWGnlIDUR79m9/Y8kTzGPrUU1CG1hHjJkuf3+FF3Ib6SFR6Vd0cN
EMsEBN+m8h7JuLQ3iLDZse0llyYVebE1yKbvZUA5ZsuxIguqP2XuQ4fPYBgXZ1VEB7AcI/kFH5ls
8QnA82a13KeQHGtZYq7Ef4qZ+NCCHzGW/VTZ+R82tNd5mL5l4ONHmplVZVm/yxyfnrOy49k1i8O+
yykszbcgJKNNGS7m0gHIobhD0LJncIKlQb6r4QBgJtKEG1F+x3sc9wR9u37GViRLDIgktV5YfuM7
AyaGUqfJ8rcc4UkHOJw6/fwe7FNxtrS0NsU0e4d+kfYjpzjz3Jb1svOnObg6QFwCUX77GQdYof3x
PPJFr/t6vIToQicrR2yXYMAwXLuU/nVeckrdQm0cz9EHz6JsrR2sz9KE3QG6VX03x4Yt+lbbp6IW
rIOEptkueXAnoTReOX73pzia3EPXztmpT2kNxfz6AcM6ep1S1j93KnKPrLw132LX8dPQx91DkjrO
jb74GdcNf95k6ECHgDTWUXgkdWlu9833Phw+MUgEm4LighU5kn2okJ9T27HegkLE7424cWqo+fvV
+MNGhJRz83UUpEj56H5QfwShfSd8nI2BqVo2drBKBBjZsK/qg+r7A1eL8OCRWuZDFdldCnLtGsU3
phfxCA8ky1uXq/4O0C0tPkV7m0r3pCyHsLdYeDzaHOcKSFTaDzdjboroJlLc23TqhvSNY9nzg303
jemvxuT9o525VMtSif7kDZ2HjIg1iTPY/NS6dfM2EEL/J2tuZQWBeXIt7I0TGcHvFhPynmBq8zfp
unSvYZtAd+AETfDcv3MdH1fEgkjyWbhFfkePIbdvZ47dMwHl4jmDJnnrFO2LV2nXbBk1SQCgdTSb
o/zuCX7b907E3JBJCw2+uZTHdKE8yI4aCFn+4hC2iFwscLP49vsxubfiLng1joNlQ83U2Hmj/Ehk
nz1VfVk/t7N2T9A5AMOVDj5PzFJgqLgJbHljcOTL2+ba5I+yxOQ0BIC7Milfxzz1D5bUM5RUWsHC
uW9IkCh5FnYQbZc0/ZmbeXCo7MzDXVMbjm7aS3fVEsYfjh4IatDp+0QESm61csiySPyVOH9BWagg
+M2Vtd8uIkt+OpW6m4QL4JHynPYh/F/cndly3Mh2RX/FPwAGElMCL36oeeIskiJfEJQoYUjMM/D1
d6HYvpba0o2W2+GQzYcbN1piqSoLSJw8Z++1gyi66kQY7WyroSAnt/WQE4vAU8MCfpyVriCw80Zp
fbZuAypzXM7igKbaJj/Ji6+MqbpO9dAg0M3Gpyyb9OBOiujIwvD2jRTmCSGn+soHLde+V8ijkiGD
zKQhA6dPxq9QAD83MMygcFfBsujdYCWqQeCbEgw3OsKhgEP5Rz8MrgCeUjkK79KYxVnY28AiKTt6
ijRQ7P2UPKPUnnDkxJgFWlRQ9sQ8V0/HJci1/jgf8mFkZF/KvtgyD/COOaQdAK8htBXkyY/M/6Fk
yAGDfcg9t0o6h7Shkoklswiok5Rgy5Im8wPZ1oJIPr17DHRSDLVSv4+Jq9qQCeX2PmEopTr4aXcb
985KBj2by0hJrusbLRDj1UjfeEPIF7qKcbhGXfBphp3OGL/4qs0hZ4LRrVdlU6LxR0G7rZj4kYml
ZwX2DC7UhJSlpoqd65b8yinUrwL2z3UCy3+uDaJNXmr4rQqNJrpF7jQz2WSlrKi67WZ2rR4Cw+2A
/a7J/U13PCnig+iKbFF2qXsN7s7a1pMsl5kdXHYSaxr/lg6NemgFIgeDrT1UsWGsRO7jo5g848kw
KJ6gxlplwhAmyRNAPwWEJwrfXYiWyXVJDA66/pSyFeLK0Ybuvrbj7Dn1SQtbmKHwP1c+weMLP5Qk
iuhhif9X7+LbtBLa3WChTEv3ldW5C7cJ4etMfPFXeaqyq7iJxQtPwOqq0BKOuWHFG4/p3C+mSAzB
UmjIcs3JfzQEtLqy49yygNTA+RRMEd7ySoktvuhmK4vAuauyAchu47SAjGlpmoNlbdvOqD5j2PDg
N2GbeKaJ2XweUjx/dQG4berYPFka7+iXIke70rk7Dz/lAhsIOue8bla8gPWRs3T/CNg8vW/K3rpS
0sgZp2b5xDAIZD/f6S16B94MCIvHwOi/FEnM1CWChhTCrb8eBf+vHSBx4l3t8CbYaMzrTBMMVh2x
BpIDlsyHXDmO2kmLUQKpxAo2ksIC3UJJzlciGJEZqGwp02NuW73w5L1MBvJ/MYBScOfppZ7qa6Oa
3KUe2OxYXRDtnBFCiVch9EK49mFw1GtV9GANIw2WYfTGPCrey7K6TDtsXXCPymJhDk81hx+Xe1ia
YrxsvfElLzPtAHQsfE8A+Z+2Sf9fMkB7Bqbcnzc0Obq9Vt/2Mwl84hf+sD27FyYjCFvnNMtDz7Vo
Wr7bnl2TsQf/2XEMk+bkeezxn+lUqPKk49EcMhzao9/0M60LfgP4nKnrtjl7+n9luOE6fwY90DMA
2iaEZTPb4CV549+Z7TsnqTMvNbeFL6wPcWBNK1AiGQds6sEuHtptV6bPoUoHBgKu+xzB1+GEQBtp
0fA/1hb6r3MZ5pZ64lrCBNZNzqUgjMjfD/gzgZgbVYibsHKcJ2PqEUD1zD9OviKhdaGaMtsrpPxQ
1brpiSiv/CtoteYJxyihg3gXm2tHasMNbslk4dW6xpaWq03PzOYwVJ1xx7G3PFp1hoJT1LIAlNvs
g24kBVjw5HhCs2pYiALr+BgnHp0A/FTZBxUBf9uryNJoVvAPLW2LlgmYGrgvIRFyD9Aiyy2GUPvo
eHn3UkYFzLdYcxVhdnhYHyFu6A8+FGFv05oBr23m7I+YJ5FVwb4x3rwAUBtlC70yZr7BBmuIupqM
uCLhgBr6RNCJtJYVGtAFecNA30LHrG61IlfgadpovPVIy9p0qcwuM9dSPKkUebBYQuiuXgcYrL5S
Pml3vpn46PZBD74Wwk7Fgmhpth1MTeVVCGWQaZXu4pbEn6CB+Qw7dUvrbYRwzImiHU2YcFmJj1v1
ytzQGM5Ppl3b+1gIUmdTbCubVMbejo4IgLbB/Bo2iaRvFtqxRv6TVe1iTZXtIvd08giHRufbDVsI
uDwP0ogMnFjtCeKRa0TexaaWQt6Dp8GgjZnqbWwSIscBz7fblqT1z4US/TP0H+eggek52kiVb5EU
Gg8ci6pLBWsPkNCo0y7Hnxhra1om1OhsdkGNBAKVWxs44y5Rg3ddlWSdlbbKgqXNcOyAeFyerAyS
rt00+u1kU/JA0e4RT7f2C4iShMOo3dxbuhX2u5y0v9to0jgmImXHNRvbg3elo9K6Lhx0X4i/3ebS
ppN2sktp7Kn7OdOgyQFcX09GChpttsZXjkp3PO3i2yho8fMqrxtOfl/fp/rkv3hIww+asqxnCTHv
KLUx2QVGZbBMufCuKoB0nOEk87FF0ZU2cuwzTE956M8XTl7Lifp+Bu659WTu6w7k38J0kAVEqKnv
gGRNG3eMMbRFGuDA8qUoUn/lO0iJSw4hj+XMkq68/KAPLfOH1kc0PVrXjbI469jehgcwjsXKevI5
v6atUdM0khU8NRniZnL7tyQtPwsM04Chq/sSBKEX4Vb0TYyaHij6ooDlPTExSMtgJdFsLMUcOgVr
BlWe06awHmfUoXPGHvaGgT8b9Zi7iCyIsU2O1RIokmzoV7T2gXMN3i6TdqCF+h8zU5Oe8Js7a27D
7iHzGFtoepgsKmHm28Rq2va2cXxoPsGZ4zjpGkf5QBvwilDtoANxG63jcg3CzypjT1yxmxjDOsdP
7lEoD2FII4rFWcArp0eVuT1sRn4JPVd+BkzS/Wi1U0/HA2yUK9VbZGbtphWxtqHdZnNZNMNWpJzM
9c6ixxmUNNQrug1dz9kmDRjrIIrw/QfJ0s7J27RQClttXOQYMI/DWZujJ0G5zuKm3RDXjErHjvR7
F3nhiytKNGEG8QPHlFQCGqO+uvHR+W/0OI++on3wUXEqGw8U8MBx04+KjBhTg9s1GZIb3uzaZ4Ka
9V2psGEtMIVEu1liuGlzhXU3raVxWWFmQmNMhKsHMPGjZdCE8auxWpU+VIe0AMiVMFC5J9+pwhvX
oqtJy7FcGbGU27otG+6HoL7BuzgrSgqr/RQMWbJmrLabAvsolKKliuH8Y2UE9TEIBhTISrtvi07t
48xVd2NUBtdOjbTaoEG1dbPMvCmzUxEhpwIVdYOiK1oZHMsePM/sNnXRZ8aSw325n1ShXel1hg7c
5Gq67osqOdFwibulajkmISd89j2veZaaUo/IgvNLllndpmqyXhpqNw40lT4U9CY6/zoISQMKuxEL
pRFMBDC3pEv1LsjuGtnUZZhO2bTqEfOsLa89JuOEymrqbMT/3XRkMkbIgJfw1U29SvDMox7EJWNU
Sz/F2Iy1BGtQMTTXMG3Mg0xS2LdtMhVLElPjN6ZyLQ4FzBaLVIPYSPnIVTb/2xLb2k1D1Bo+eDXu
DFE4nyHyjlvHD9j63NQYl2aW4DJJxEAyimVm2omcYySW1owU7HncF1W5EQS1YDFS/V3o1XSLyQbI
t65LN9ObxmBLR7pYRuRFPWlZOz00lmucJga36JQlsOPC8kv4iRhy9oFuvtUjsiNd9IrBhgvCGWB7
8TCgFkXeR+lB6EpZydNQuCAJ3Xp0UdcZAKzSV7POIi5jMIdklAQoeGszwELic/An4km99Oyn0FtD
3dTWY5Dlt9JySVzoy2j6AKHEMGY9cXvAJu081qXqHoZYvOG6INwh8mttIYPEvJZeHXzBUxhsMidE
czYajBbH2rKACfekKGGpMB7jSvYfJFvNqz/IiE0XRyR0aQ561kLGdvEAtSL5kpiJogFOL4buXsxc
pxHPIQcwhzC20rxuyqIHFc5BnV7+2s3t+DAVdvfR84NPaBV33FouWmMPEqUBm7fTUCCW4l7HM7PA
E98fiCS7shOnJKOvhEvd9tM+Q3Bv3KuKm2TXwio+kgzg3HeZ8unRtQa5KF6zR2FN0UH6SM3kAmTz
aPJFjUa1N2aGfRnzMF2U+OtX4FSSVWYbPZ4Zrul21Hm0QgrcFDxTHvIxTzYCXj+MA1HdwI0eHlQx
aYB/PQSUScY5pE6sNQgW7YM7SIA0NK8r3XBv8Y+kV3D8qffMKH4SCLf3XZW266ojvj2rYrWlM5Wt
A8qt3SAz7yPQivHaF07+1uGj3/T1hGijd5zxvmKAt2tjWPKFUe+sQA9PYQ5kTHUhOVVZjXEG1uZX
OWkCxoB9TTxIRJOPxz1JEOLTeMY6RGfEw9ARn7IYOy06JmcIhDfzIHxf70FyzJCIYeZF4MpnI5kZ
EpycUNFpcCXwFDXbPu2jG2emTogzf6IR2NVmJkXre3OWcZYuhW859CCHN+i39U0EzKJ1zWYnZr7F
OJMu3Jl5IWf6RdlA6B3b/kTRiczFyyy4ftAy/IJtPZ8JGoUJ2kZGpNuEnzwQG4XwrmUQ1Js0Z0rC
HQyJIz9DOcoCrWYIqIM9MW0XxkzvSM8gj3wcCIDU+xbyGZk/01HO1A9zbOB/6NhsnvticuWB0Oph
K53C47vPE+srRVZO0sFMEuEhVdLVgy4iz6CRKS2p/fDCe28oOoWgT8bTCItOf49HSq4sABezKv1S
idi+o5gcDxxqQ1QHtYLzE3lUczPdxEWtQ/snEPQq+so2PyRKBLuUtholJdOLvomPMJCcK3YErDoz
N8UJjK5apIEZfSz4jZORMhtYUmdOV9UZvFLoMFgSKuv7HMzeifvVbqm9ILVUM7NFoTDskf5AcrHO
UJfiDHjxqXBXbqtExcgkS+4nZs60AfsieM5gXJ/MMyxGzNwYDEYZfHFEVwuK1ZTcQCbcUO0bDuUQ
XgEq1GcMjSorvJPBpNPNVn4RPhFjJ45VUUA/DmeSTSApMay23kNiT686elUzzzm9NDpH3pJLaKEl
kOTBYMbL0jd35uUQ++1eOp6Szy34i73relq7cBxEE8sU1WS49DO/HZZWQhDxKmvRvGt5IejsTb37
gTEBqtVKAQodXIlapCGcySptcgU9MiXyAr+GBtF9OcbMy9i1XmnuNgtMw4TpuFa4xfBDrGVECocR
3Bil/bWcMUF+lmv7gTQ+oFLaXi/CnWVHV0gsGc45BX41ZsD3+kwZIrEj2vozeQgAsLkEYbIlBHBP
nZDuWIgJOeYmy6kNeScHx86+6iNLEgXaznAGqH2KgpsjMjlf2HlmO8GTVzG+7kNyaWY5HrlcD9jf
5YLjYL+p4uaa03m2xOtxaRokbqS6tjOjZthwGPmk+eZJ2fEqi8ilmDw6JlIPXsCkgBniaIb32lih
KnBWU0+nWOVhs5co/tdpL7qFDZ0RqmFqrkxkCEuiknifXVbj3+hJMkhwNCfGSk+GV4zCq7oNd41X
hisCUq4njLQ3PTCfNR6+6ZJ7D4+C6aN16z2x6PuxMnEaGuYhzurgzgdxsLX8Arl02bXrUm+xQlsR
FjEEFuaGYZOiKCXMfjvA2b8dfVv4S1iKo7nUvNYtcUk31ckZ25jQ9IT1datEbtUwm6FMq9tZmvQf
2xnahXkEfld4ZnnFM9ZrOBO+phn2lZy5X05QeI+oQobXxgz8Y40H1CbgDhx1r+yPQV+0wbrRbA+A
8cQB56CbIrpj4jGka8c0px2jvwHNuKc/gSNP7hsg3dApKhq/ADaS+gCjHR9+56J40GVXPFlMjs2R
S1Fv3A8Ycu0jG4zCjV+4uyEpX6cCw37p9Ix9yA/17NpbY5Psvhhjyzy0BL9+FbSmu+OMRQBUqBdk
jaAnY+ROO3kBsbl74c6KlpFdROUCpPmWGDZnO4w8qu2II5wResEhnoxh17h0CRZuKLw1uQDFEUIB
DYY0oG3IDI/OduIR8uI0LcZuWcsHl8JlzvlL6Rz7oG/2/7/0hH80CFevzSu8I6TDt8QojHdf8FY1
/yTxzX86WymaD/l/7y/9B9Lvxy/0b1++USh+ztusmd9BEOXZt+05If6sTzy/pfP7/VevkLzysdo3
9NCGcYGq2BbkVOvnH1KQkzwL/vhj6V2YDhoGEjVm/Cah2d9+1T9+6+8L9a8/3l/5O999gJ/qtjHI
w9D5c1fzJ8vwp1f5bhkc+pOCoOUfLoO4sMHcADf8XZeBB7qABPlda/dXF0FYF7M+0yDz/YeL4FwI
R8LUQeJ+/nm/9r65W352P/xvXQvYcYz3CxRCKfTMf16f//WG+OmVILwL5LC6ix7/Z4uAjBIE9Psa
zP1sFv03WgRzvkr/5pVgoE+2LUGrn2vqm+3AlRcebX40zb/rp2cjc03IQ39xX/z5ZSBhvOqO7Qlk
0d+sABsioFYXgekfF8A7T/Z3+v4Zqvzd71+IC52VhHD7p08/+1Ekw177fa/5jT42+vpZRf/3NkAY
vQj8qNR4pW+/dIePzdaCceZ9T3h/3PxGn978Adn4V7d/A7sC8zu2j/cPqX9fCrj6he04FAscvn7P
7f8nFq5fXgf3Am4WIhQsFuef79cBjxcbrDXbM97X4bcriX7kW/nVRQBX7WI2sYGtf38r2GCsHRKR
dPmbXgWIpay/u/tzK9iAui0DTtiPLgEej/P271p/FM2/XSX0Prf/W5uhYV9Q7c0mJObz88/3t4HL
H+uew677C5vhX9gxOWDNf+tz8uW1+vd/AAAA//8=</cx:binary>
              </cx:geoCache>
            </cx:geography>
          </cx:layoutPr>
        </cx:series>
      </cx:plotAreaRegion>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75CA143B-EFC1-4957-B9F6-327C788EC360}">
          <cx:tx>
            <cx:txData>
              <cx:f>_xlchart.v5.6</cx:f>
              <cx:v>% of profit</cx:v>
            </cx:txData>
          </cx:tx>
          <cx:dataLabels>
            <cx:visibility seriesName="0" categoryName="0" value="1"/>
          </cx:dataLabels>
          <cx:dataId val="0"/>
          <cx:layoutPr>
            <cx:geography viewedRegionType="dataOnly" cultureLanguage="en-US" cultureRegion="IN" attribution="Powered by Bing">
              <cx:geoCache provider="{E9337A44-BEBE-4D9F-B70C-5C5E7DAFC167}">
                <cx:binary>3H1Zc9w4svVf6fDzpRrEjonpifjIKlGbbcl22+1+YciyzH0DCJLgr79Z3lrCSFYPp7+H2wpHOFQs
gslMnMxE5gH0z5vlHzf17bX+aWnq1vzjZvnlWT6O/T9+/tnc5LfNtTlqihvdme7TeHTTNT93nz4V
N7c/f9TXc9FmP2MU0p9v8ms93i7P/vVPGC277S66m+ux6Nore6vdq1tj69H84NqDl3666Ww7Hm7P
YKRfnp22H4vrZz9df2yKdleYURc3Y/jLs/NbfV3D57ftWIzujetvf3l27zvPfvrZH//fZPmpBnFH
+xHuDdERpUoKIeizn+quzb5+LvgRRRJzGnL0+Qd/e+aL6wbue1qOz1Jcf/yob42B1/j8/x/33ZMZ
Pr549ogCCtPFXzQTdweBT198fsOf72v+X//0PoB39j65YxxfQU9dekS0e+8Atnl+DfPi2uSj/isN
pI4ow0gSpr4YIvTtFCKpCKbqyw+7b6c/KdPDxrp38723hZc9+RtY7Pxat9fjdfVX2oseiRBRTCl+
zF5cqJAR8sVe5L69/pRED1vrzq2erc7/39/AVr+OI3jtS3398dbk35T23ztAzI8UJoyH4Rdzofv4
kuiIcU4Ylg/b609L9bDNvNs9u/16+Tew25vb+rrNrtu/EmPiSCLEmQrlfWeojhBSkir21RvC5S+B
8kvQ+lOiPGyoO7d6RnqT/B2MdN0U9U8vrj/abxr775EVhkco5AAr6VlJQmohEEZMfHvYV/P8KSEe
sc+de30DQcbwcHL1fyi3SGwJucX4TWH/vXUwPuIK81A8EqfCI6YEArfIvsQp/u3RX2z1J+R52FDf
b/SslJz9Dax0advy+sM3Tf33RiLoSFIMJsAAlbvZOTuCxFwihcSDWcTTcjxsnG/3eba5jP4Gtnl3
a8afolsIRfVfZyBMjiSjIUPivoGkOFICc0W/Zg3KS8v/pDAPW+nezZ6p3v0dTLW7rfPiLzSSPOIU
8m3Ev65l76d4QhyBl6NCsvBBV/ekNA9b6ettnn12f4eF7qvr8tqM+XX7F9qIHzFJCcXqYRsBzg45
naTiS5ruLZv+lEQP2+nOrZ6tXv0dQlJUQFHiL7QTO4LlK0CFkYeWtxIuI8U5VfjbM7/kC0+K8bBx
vt7mGSZ69X8wHt2t2N1LR//Dih0kbrAcZZBZf4WC583UEeGEU0EfTty+1hUfl+ZhQ3y97Z7g34uU
/3/y6Mfrd98Lmjso3uw/V0LvlPB+fPXz60HN1rv1RwXVL7o6/QjVUpjYUCf9XmE9DHJvhXm/LHrn
lltwmL88g1BDYNGqFNTspOQiVM9+miEvgSv0SEoiJWTcDBNKBCQMbafHHB6KjwSSoVBUECm4YuD7
TGcPl+QRpgxB2AoxjAUJB/9ek77sapd17XdlfP39p9Y2l13RjuaXZ5ijZz/1X753EFVQyCY5QBvW
ZohyArMIrt9cv4LCN3w9/B9ly2CuqrDak3Tc87Tr5sh2vC7iHAS6aMtaxymy+JyTtTtBDRlPu0ZX
dSwb1T/Pq2B8R2eK8qiVefkb7/XMYoTa7rROQ95FSlZSREM+tscZm+RLlI9cnk6cz8WFZkN3Q1dm
z00rlD6ziFsd266w03FGU1PEdM15tR8DhdrIFH257EqK+C5v6uxj2zPW7OQkOdlJUuo5GmuSD5Gb
lqU9n4NK/IpcWVb7NsyXC7ai9Hw1g7ZnMkf83bDO+F0qsHxj8mB+2a1jn0fTaoKItyg7m0LJbVRU
uZGRrK06w2G1vjDt3C5RHaBijCba0ukM6zRH+1mnOjjjLsevUTtbdlxVqqh3g1sHHlVZqMpohnSy
3dEqX9KXuTB23bN8tW3cNZTXkRnmen7Jp0aYC6jPjybGKdV13HcVFVFehssUWZFpFBdl038a5qW7
wDYozB4VTl90rkTspMsNoTHUtVge0bl0r+cVNyRKK1zkx+O41GPcFmOpdrMK0Bzxua9uqqBb+1MX
2rrbOVPBA2jG5W+oMOXLKkjVCViGvkGynE5cmroXaefUJZ6ndowKVeplbwzqfsWE2CJay2ZJE57p
6qzXC8piOunlLeorcVUNiN+gRZJib7llTdTYBVQjM7k20Vzyem+Zwe8GW9h3MmN0Op5ramQsUYNs
TIUYzsvGtq9p3gxjVMphKKN+DIP5lC5j7uK0yZZdLuEJOzaiqdlbS8irsqHdCcuG4so0dOyiKSz5
TYhyrmFCYifiSuH5RVlP+bnKSL3LbMhvaZubLEpXprM4ndQCKkhXdUqnoHS7gRU43Vkxh/C9kP8+
CEts1HBEqnheVbPEvKE9PZ4RXtmJW4I1jZwtUrSznK7Tzk5WvB/aLNcRItycGbku1Y72smPRIPuC
RajX9hMP14XuYIg2jQvUExU3fTVPEZaDPU5DKstjRNr0qpmWLMK9q+bjaoEXi+Zc6TByreuLKMOj
vhhqXn20Bc3QqWwCFLcps3rH67JreTTTXFYRILp5rVQhd0ZYWZXRVDc4wJGhunzbr+pFLeyyb62e
xRghrvpzhAcF05Gf1E7M5QkyqHzb4hkltHXrXhR0vciUqc9dPuHjYcHpEBfVLObnTrVjeBXqonur
Z7JTkyEnIZtmGysy9uUZVU37OsvL/VgbNyVlGpr1tNEwU4aqZM+RlYWORtmiGR5AchqhNCj6D8Q0
6wWewknFVQ/z5CzAaeXeMiqHIB6cm1AWEbfw6niyqNY60lOpiqgpq+JDGgz5q9m2/ENVz0O/Q9k4
5Kezq9v1ZVHVoYtDgIw9VqznaDfLbAlcpNRI5ClXq11fksy69XkQBOXb0Y2iigYyMntsF+rmMmI5
tuIkGB24+Sg1uQyirBLdsQyG4bpb+vPWyHJfoGq3uG6IECAp7pmlsWAM3jb6H9Yrh2xvh33VLP2l
wdOYhH1fHd/tmN2LCzdd73SR5V/bld9//debroF/n1tof3x46Hb+8dvzb23SH34rue0OCaDxv3QI
7t/H+qNZdwio3zt3Xoj+0lh9JH7/8OK94H4vhfmWpH6O1CEE1sdD+73E6fv3v8R1JaAeEwpwp4Ry
yI/597jO5VGoYGEpEfTvJEYEsrWvcZ2IIygbQBWbA1II9Pcg2n6N6/xIcAS1AymwgEKPgmz623vf
sx/kMQ/E9UPU/iOqBziEZBDmyKEGcTeam3RJu6pQ/CQPd4q9NBOsd76//38wrp8l4GLipl7EfmR5
nUfr6ty7HPPlS+f2S+P2PxgerHJX7FIElZuXVuxzPWj9auYryt5ky9p9+rH4UMF8UC2wUrk7vmrW
Stoq5XuFmVmv+rBRKMpJycIIUdTgiJJhTL+A6j9+GTD/3YcZsH05Zy3fL4ZIEklEMh11jsvff/wy
UG568GUOGd2djE2oAfWlcnxvw54+D8OZNq9nVCJ+4eTYLkkgVghxjRt6WFNtML6EmX73gb1E/SQO
D5xqJZazLrcpRGVj82L/4wccBnpg1h6aB3cfIIt1RqMlbD9XRsyQSZEUx31lcH7BqrzEz0Nb2Soe
zNA6EaGahsMxavNJn/z4+eH9ZPg7bORB1XdU2ovGVMw4trdZNg2xxDIRJPzUV2SYwaVn89RE1ong
opszSJUt7jrZRkEmcQPFny06PszcOxLUmWumms2gAolZTHT3SbC5eOL9HvEK0vMKHSB1lm5ke+eM
+A11rovSyZYvt4nu+YZalgU3RLN9RYriFgHP5qINisrG24b3fEMXzKwfcsb29Simt+E80GhJV7HN
80jPM+h6LvseD2w/dsG67tESTJAg9V0nNorveQO8ZKF0dQneoKO2jB3nC42GAaC026Yfzx3g0gVt
Z/ogaTsn+KUpgK3ythnH4Anf+cjkER76jUQWzQuTydqFzd5lNNDRUlRGP6GgwyR8APzCA7+CNU5t
sUuTLoDlwPGsw37a17MLi91Q5FRtfIwHcUK7VM59IJJxtHg8aXnXov3ahvWy74txXrZBTXg4Hrpp
SMnSyKTH1fqm0i5/2cIC/82Pbf2Yrjwgz9UiwxnSjgQHS7GvjRbkIqOQOr6rmKyWJ1T1mMUPn9/x
RbnMeli19zLRNXWnQbOilyoLdR39+CUeG57cH75LC4dAOTyxYsBLhMqFvudr1++3De8h2k6iE1Bz
4clUgwXGOmv21Aai3yi9h2dbkNbVrpQJNVMFNnByCSKDXLFufICH50oFbFALaF+FzdCe9iFr570u
xTpfblLQIXG9a16BHTFhsPBEmbx4K6Qxl0uRDe4J+Q8z/QE8cw/PjZpmVtpMJE1thvSVaJrBviXD
qtDZGORKXEENi/DTbe/ioVo4DT0gxETSEzoWJ+NKFhXlVTOjbXiGats9ZS2FG/iItUgqk/X01DR4
klFpqX4qNh/U8pC6PEi7rMxQM8N8GlLX612ZESEum2Cd+Fk2pk21XzLs2t/qRpLfbZvN7ROaeyzn
8Qt/9ZKloltn8Lu1rPuzPDCpgMy+UpDWyXEu6Ri1Y7lOcZHzvoEKw5qJHacz6V5PaOR2o4I9b+BS
HggJtaakEYHdkWIWiRQ1eWIyhgdYPqRefN9+bBqXYoCCRULQqrv9GqbTuGfputYnvSLCvcxM033q
Azo3J3SVLXuxEILb51hIWf4mK8zYE6I84va45zhkW7K+mwua9CI1JOaruu2XZR62Oe3Pdd47TrvW
hIduKUWig35OsjGkdZQRmX3cBDTmOQ0bai7LMqNJ1i/yPYNQ+sKgoNnms5nnMwaStWUQCJWwGlYy
sQ1ls0a20M48McseQdmBhnTX55licAwvWiajm1N8KqnW6MPSh4C4HOeoi9rC9k2EV95nN32zGrzN
LMzzH2Rua5hEmidcpo2N+gGbBmqCNNgYLpjnP1a6VoPlWuztwMI9d1O2W3kX7LaZ/TCZ78wqnkLp
vRyWNTE2G5O1FWXEdV8+4YMegcShy3FvdKhZBguEhqTERRPjMSx3qevwxknlQR9WPZ0Mi25NMKwb
I5SH79qMPpW1Pia6h+aQ9y1d6mxNMuHG59a1CHKBIQ/LjfPGywLy0o490W5NgrRRp3iCOnFKJE02
mZV6aCb9xPqxgtHHFNN4JsJEpgmLbbJTD82yxaucBJg1GHEeV8ROEa8E3eZHqQflEgUazalZkyEs
6mOj2iyeGF2Pf6yZA2weiBfUwysUyPN1hc5CMgfsFpad1XRMx6pvk3EWfOMbeJAlk5jaskrnhABw
X6mxK/ch7apty3HqQXZsIRWaVz4nHWX8VCpmd6VrN7ob6kE2HJs6lWtpk8zU9LyoG/G8X+qNonuI
hUCdQiuSjMnQQfE/1gybWORLle9+bNxHQEs90LI0M1WwQpmnb4vlrBqz8cKmab0RVB5koT4aTKEt
x2Nts9m8JjOS9UumJc+3zRviobYKi2nIJrxASmhX6HWw90659omJ/4huiAdaVgYVlTKd9kOdhxEx
FkeDUnaj6B5oSV9SnJZyAs0H7zWG/K5VS7rNrMTDbNWvOggM/yo6xQOO2AT9202ThvhoZTK1Mg+n
vZqhaIwPo5vtijmY406ArdDUp7WB0ZdS5TE04GzEOS43yu6hNadMdtD5h9Epvh0KWh9nRbaxskWw
JzrstpNFBoNDI6xJamjhw8qLL9tyg0MT5a5ilpGItHbVtGdjOkdLOOEo7NNxW4giHlabvMdtR5Dd
t9PaQt+0uLXlGm7TOvZwalY99l0+231TQZOSU/Y+mAzeOLiHU5QyTVwejHsxoHZnluIa2ARm4+Ae
TAejlhIyYbsvucojXhZ1ZDUWG0f3cCpIGWRFoEB0ZcPnBtojl6nI6m0tKuzhdLEUt8B2sckawl7P
aG0lZ7tgDKTZNmewB1U8LKqxfTYljjatjgLSs6Sf8Xizyc9gD6thkWLdLQ1E1tTUZ6o04c5Updtv
Gx3fh5PVaU8yx2wyKvJ7WOIrQ8nVtqF9pBpXNs4FY1LkwQtwj+8dFhtrhdjDqSqKRoStGJNyzuXO
5uxNV6XdNoMemFl3XUxbmUAraW0SFGMR16W4EHhA2yb7YdvS3cGhLTz3ZpHBvq2Xj4UL32HWnG9S
eOihVBZzFkC8dgkMa8ZoxSbnkTMk2+Z6Qw+nU8ZsXlE9JsDORb/REfwA0K/WcFumEXpAtUONUZ12
Nmk6ve66RXzIiz7dqHYPpKksBjEV2ibMaRc3DTBhTPVU5/UwyAOLgwN54K5NVctp0QfNmACLTz2X
Jguf10Hav9tmVg+ieATGDuwJh+mYp3lEmvk3IYuNJvUwutJOlWle2USziUShXN7Xg7zcJreHUaD/
LXNBYOygNG+odc8ZNc83DY08hHZzmmYjycY9MH2COCjTi2JFG+sDyENoCDwasQY42AO9+WXjxHup
Xb3NtSAPokEOebruQCd13l51WXecNvk2T448dNJ+dmSBAv6+W6cTPeNzyrZFUOQBs3ds5F0Pazve
ZBeyW5JWp9varMiDZVGPS24tCN03v66TjUvxdtsM8SBZAwuxXyswIs2rD3pRV3Ll2/wU8vBoh6la
3MzHxJkyfLO6ESelJWa3TXAPkcDfW9qyUGNiAqAS4LY6Uan6bdvYHiKrujAMdqwHe1ZAdhsgfk0V
2RbYYIfGfScIE3sYagQhOS/4EjFDg51SYtoEHDim4v7o0kxipGwK9gN/rbudhCr2Fp1Q5SEyz/KB
DrkbEyuBzDET00fhwN9sG9zD5Az9Lufa1OzDvD+Za+jtD6QcN80U2Ol8XyXaWlQFNQwua3ZJbH9T
UKc3asXDpaLMoUEqs9cNuWQw9mKnrWN70AznQhCyhFA2xgRdWJmVZwNd+EateOjMDZ1qyGdhorCV
Rysqf615vinBosrD5qIsnSsFyF+IG8sY0ZR3OwwZULHJtVDlAbSfG5pCr2ZMMtpfB/P0DpoPv26a
ij5ZayIEaU5AL9ZmbDfYqoiIxGJTHgEFIW8u5pOAevQCgi/Lpe3Q2TINGxHqk7DKRiAqcmISWZHn
NRAO93CGDd6mcekh1GYaOJcW2LOor69oUMelzjclKdRnV2kWtC4jjUkwZjiem1DHIS0/bTOnB1AH
HQUjm9EAm4G/z8xyVgj2etvQHj4XPaaVxIFOXFjPUd2J4bhtym00DOoTqzo2t2oCrlACLaR1167d
C0HMUxyDw9v/eyJOpQdQ22NT5eGskw64NrB/wurgPJiQe7VNMx4854CAV6QWLDq5jwYyuMXID5uG
9tlUIwSevOedSSqevVr6/hQ1zbZ56BOpplRWvKypTtZpyPfTnOFdULc32+T2wmexwoYcvVQmUXkf
V9S9aORTaechjj1gTJ8yNQdQD556oZO8mZiNtODl84H3C+wMwdbF2+T3giir2qWtOqaTuiC/1zl9
F/TVm21DexBdgPFYc5FqwP9kTiYDWzDCiW5r1cF+sPseN8M5KzTBIDgN3zVT0EY06N9uk9yPocvQ
w56f3CQMF3Ter8Q6Chu56rzabXuAh1OaZ5m0soYpuQRXRYPfFMO2tTjsEb6vl7pgAyyYYejUqasR
FS9Twje1oahPkKqlS5thcjohaYOTQOLxKsxgw9omnfj8KCwmxKYCZmKKVhc5PSSEbmSnUe7BFHZg
BeNicp20U48iNInjYc62VYdh18N9lY+aWksVqBzc4/nk8HnNlm0Y4h481ZzVthwynYg0ayOxunOl
i219M+oznRTMErTgSidhN12ScLjQaNwot4dOXUB3gs/BkBgu3xWhvqqrYdMijnIPnOlCmyrrS51w
0EykgIQeDa6R2/yhz0YaSTkEZacG6NvkQ6xxdWUDtS0F9alICME6q2VoSLKCNLD3EQoVe4sCvk0x
PhWpLBWw0koHuFGuiaXl/FVdoHWbRX0q0lQyngLXbkhWpXEcGvoCIum27jn1aUg2aGGr39LBdOkU
RRX4WleZPJJqqjbVcKDDfx+jwAVGKlta0H2WzyJuoXiWpCkdtvURqE83cpW1Ujdpn8jAVEM8zX3z
ySoxb1w0Mnpf/rDBiMIG1T7RuTO7JuNlBBpix5t8r084EmJZJJpQn9ia4xhxILETWP1G20b3EDvW
wMAzpO0TQ0U2RuGKq+vKLW22cXwvmi6F5npeQDddXnZRMTa/LnW4LeYxP5zibm4CYUHvrexPnEEG
9uB2+ckmzfh8o4lMxPX13MOeTra+Q12ancDhLH21TTE+4YiAn2TYgVlVmw7mGPaxEhqxtOPDxgd4
YRWacVXX9hNonpj5VGv5az7U22rz1KcciarBwDHWfSLo+LrIzNVcja+36d0Lq1nqZlLX2ZCIVv3e
dnMY5ZQ+xa09QPKBvN0nGg1QMpeBbfqE6FL+LqCpcGKrZto4ZbzIOqJgcSthXQJIVREH6ksUuEDs
tynGg6p2AfToaxidTc5GLOzPqvYpFtPnFPQhxXg4HYoF6HUSd8nEqyyNoFtcgrMRxVLFWaOy6qTp
3fzaNqY+JYYEPBnzfGBvYIubGC6h/mf0ayUaflJBX7I7KauW8kjUBRTjs2WQsHd/peWgf50HHNgY
uaGtrrs8D4aYQ2KJdyGDWvte9HaxuzqEKlnMoUu9nNohkGWCxZLT07QrZ9jbjKCa8FsAzF53HJLS
iB0RC4w518W4HmeDyg3stsOrPW4wXtadmRrS/r4IStPLkfKg/GBCNgyJXLGaEr3A++76cWX7Ek1M
xq2AYxNi7kRmT7Kwy9QFly3sC0PDil9jqeZowlyf9oXRa4I6Jd3x3NQT3U2aZmw/iZlCCbvOJxpn
dd90kM8q5WKpCyKipit0eD63aalOaxKONFlB23PMSDWdrmvQvNDthOiOomlaozLV6fq6DstObMtC
qOcwm4VaXlnSJZzlHVR9gghnRG3zNz7Ti9DUQSJZ90nOm9uUVq9TUWyT2+d5TdCJWWoMcjObJkbV
ZykLtxUHiecl2QTMlBAqSAlWaonSQFWRqsNuo068zEajjPAKmnZJhssyWqrhEy/1tqTP53iVsL11
agXqEuts/wJ2gxUnHZyLsM2VES+nyXmBbIu5SeBsDHpBIX8F5r8d329yZcRzlLrJpmnqpy6pZGbf
ajmsUMxv5bhR7Z6nHODMENgmorpEQVE5Yri8yNds204z6pO8EEAYjmnou8R1fdrsOjSXyTKgYuMq
x6d5hW0RrgGBGcmzhi17bFq7RiJg1bDbpHyf6jU2w5wG+dgl0Kj6NPf0jAVm244OiuX9VLi3s54G
J7okRwp4ZKMRSx0TVeJP22T34DqxYSWTxX1SD2qVkegGAj12ifE2LgbFHmLnvq1DtGSQIMAJ+3Bi
yAxHXRTFxgTB53v1Yk7LNYMQDj0aHQOjjMd9AKeQbFOOh9kZwVZpVrQd7Kqt6zNOJjZGfNB8G7+f
+mwvU7YZEJk6cMOtFWd5S9DvsKZ120rB2AOtWJphbQzkq1DKWk5TmtpEoFFsnPRefoMJnIhUHKJT
WTRZbOYhi+zYNNscjk/5CnW42AXWyUngWnKbA9v8dm1ss435SX3SF5zE1ZZ5WfUJ42IKTivVhjFK
55k90Tt8ZF8d9YlfsLc1TXkt22StQ6Lf9FUxdXEqWtzvZtMFb2DD2YsgUHW5gyyuUnGmYDF6nAeM
ddus7/PDYFMwR7aE/HN2Qy7joCnhAIomb/t62zLaJ4jBeUcrrFkOnikdw/S8KTLYd+YGN6Jt1Smf
IrYiq2F7LW4TQsKiipa5nGlUVnTamGCFHry5WRvdYniAsxhoy6t9B+z9m02uw2eJ1WPjRmXXNul1
a+IlI5/WkW0V3EN2NqyhMZVoEshtj2tcnWFstpUAPm+hvENFb4IAZTOcIJKMdDJxFVBoNczrq21K
8dLlMa91FsLBYUlqtdzbHGdRw4qNodLnic0C/r5KCxZNCr0EH5pyJjc6gHCzSXafKGZK2nZw3leT
QK71QkzreT1kT5zlcphvDywVfZ5YtkCfkeuuTcyC87Ow1jKCvxUzbwtiPlVsrnghp4o0Calkl8HB
aXI4y4Vt820w9QljVC0dgfPymkSwtowHJU8qGrptccCnjOm+zbJUFW2iaD5fGN3AqVhjOV392KaH
CshDiveyZjVXbppDiO/1SgdI+ZHJ1L5GYdftOazq2m05ls8hk46ncEBh1iXIwhFnUc7G8gAtpLpt
sfjwpyzuUlIbOARwmFQBc5Ph13ZEr7Iw3TjtPcjCSRajRBpkh+oa2xUaSvmrDdtN5oUzs+8L3sJk
DCpgBe5DodNXkwv6123Otu1mglO17o9eF21oETb1wQfLq74hLBkLJjcpnfhcsh6qCyht2hqa4VCV
6AZ5FdCs2KgYL2u2bmyddUUNDAE4wimGzYfD+7VW3bRx/AMi7rh5OJAmTftR18mqxQeoHT1vRP7u
x6B62JuRw+lmd4emE4JuNewQhE2rXVpGg7HT7UyGbUdvEOVhtoDlW5unB7X3MoWCo5GnDWd203Qn
h9OM7wrf4dIuqwbh0yyHslOI+wiOVNkWoeBE2PujK74Kx+CwvyScx9Dt2gL4CHHZtuW0qfgCp17c
f4Cc5rSHzLZOwpy7ncwQuuxgP9+rTZb1WWWOF1Dhmodgl4XZ0p2VKEQvMIajCp+Q/nOl5d/9MZyK
e198OMwdL5xbmDqHA0JfDmHY2pOimgZ9DAsxi4/hLD1u4ATOGs4+DRysCi56UQ7NexwSemw5Xk8F
DRyL1JpaOF3BBVX1smnZguNmGFwRr1merh+61BX2uO0h5saWlcsNaSg9n/pyPHNFPh2T1M4wBJyB
kUeogaMs3+Qh7G+5qg7nVLxpC9mbHSzY6ApX9RznCJifL8o+D9YdfNsUzwlOu2lTIgkHAd/XCfAa
B3zYkLzP0rB8MalKXeACZ9sCLPEpcV1QsQ6qo1WCF3TL8XClwuxy23TxfAysNV0T8LlKyAo82xrT
U9yZpw7SODjCh6aK52WsDZpsNUuVDD2c1XGqzVrPu//l7Eu2ZFW1aL/IMVQEpKtGREbWu8jcRcex
q2MBKgKK+PVvxm3dE++ed96IbjZMA2GxilmIANRD5VEhNFDmZKq9qbsGvb6/f4NkFpRlK5WnSEfs
kEmvjrtWzdtt63QVc9pQL6gRiTytU9ZWUb1/cX36b+t0Wez/tU5XISeJm26RZpEnppbuE1DV2Uve
NtuPrU+if+ls/tO/uAo6cS14k+pZHuxGJISZ3WzmrlgNmu3nzoPR9i9F9T988mvUHOAJzbIy1Rzg
ZSjlcaFbAnRYpA7dsOdpCUT3bV0lcg2ia1r0TmqjsGhjGgHoxr4gEN14gV0MRP77iokgOIJGwChP
CcZxjvijI8m/BOh/+BLXIDpOgOXcwcGtZDNzdxbK0uOUC8z9WbOq+CZ0wX8Uy//7B0BMmbOu4xFk
OiAkCK5781XM/DZqK7nYU/73020Qcwc96/7EOXVHYK6hmdsmtxUr5BpIt3ZoRZIlaU9dlmdHvQao
h4vupjqO8KuDHDOdKMVVXSVrdx/XpMgmduOaXx3jQGJlJ4dH73t2qMV8HLr0pvqQXGPoAlTXOitk
XckufeA0epjZbV08co2hA6zwIoTb1ZXu/XzfW+tOESWfbgqb1xC6mvJ2DSTCZk8ae9DaZEUQKjve
9vSrUxoLaWoaR92Jd1Y/APX6ZW7CbeKw5BpD1zDeRGu6dCcVUnVchBvv4lndBkUl1zC6KGyYpwym
O3V9P1e6zR8jbuzhtnW5Op5bH8+LJZOo3JB12zFN/Zs2Ut7WVIShxd9PfzsJN6tsFNW4zs9STafe
TLdd4tdQutBuWzM0SKSUg1D9uIxxuSv6L5H38vP/xzV7jaRbgc7fwfDDIbLrVAA1VmoGReHb1vzq
gt0h0mNXpzuwloZQjo2GSnhtRnEbIA2C1H9fdDEEcC4kFSBaTXsKr4PaPEyb7G7jQZJrNN3Cxnrk
MxHV4HfMbD8ABfAvK/OfVu3/WPdrLF3G9gTiVE17SkJE1oe4GygIRg2EQz9DKWk6dVTspODzOtAD
Q3fNl7OTdIUcp2bhOC8ing+7Tpr0x8Bpup5q2BPwmzrwsBr9+7Ju0ZxAd8NdyiXjmnNH4nw5tFba
sbppX1zD8Maug49G0vJqMy1DgAo9zCRaWJ6S22qPaxyecXLZ11ovh2Vq9WHIM19pkd3UaSbXMDyk
bJRoMiyH5KL75ekMpnbGb8JXwzfn72uv+ZrZ2uHh6wLtZmWzuZhUehvGj9Cr2zhrF7Dhl3E5pH2i
SyKTvkBH4udtX/XqtE8SZjHxxYdlTduhyKMIBK4ti2+7165BeA2wpnEWEXeYgKwpJmkaeDsQ937T
u19j8DKvNUnY7A6RwNQjk3tz6AK9bWGuNb8645MJg1h3gEZl+joOm/zJ4p3flgZdA/B22vrZLas9
jCNT8KpYoAiT1bepnpDskrH/V79NwSxiJzm1h45v5khrB33xSN42YyfXIDziU7Ir6eyB+KEF4sp9
Br16+5cY+w9X27XY1+JnSGbxYA+BJ3shY2lKLm/MVbKrc0rlwiIyY9X3AXIt3oW/YtPexiUk10pf
0a6HuVZkOTRgz1TCt22JeHzb8J5cY7920CDqbkVixXX60w7k09Cmt9GrYWH49+3SDmgpTzpb4Api
4mLTaX2oa8Do/t+n9B/KxGv0l0rknMqJ5EdWK7q+tsvQDcfAUmWOmdG4Bf/f/+YfNs41EqxeSZ0l
PX4ETLajak1pU47bchsSDJ5Vf18i3dbcOYanN83YVTlgYKWYwu/bXv3quMoe4QB4RnPQmw5lN8x9
ZYf6tovvGgkmdBa7gVJzWCVMroY2TwsIGO+33XzXSLAwoNzYjTcH1+7qmFj5tic9vfGTXh3XvR2y
fUKv56DzlpeD2voSkNTbYP+Y6v/9k448cMfzWh+iITJlv+uxIDrcptwEBvTfn15nmTIwf9KHDu4+
5U4H2JdBJv+2XOwaA7YkAS1n0+THvh/3z3ust/c+Hv9Nt/4fjtI1Cqwm3icLwMoHahLwUS4Jh4Z9
8G0R/uI5/N+XExxu0K4OQhyzCK3zNfo1qfHzTQfpGv0lkzSp4Z/Bj9D5qhXM1YBOdO1mv972+Ktz
mqiJTHtsxJHqYQQAt99Y+8gSNea3ndVruS9t8wVZvBZHYZOiF+m9im/MxK7BXxDiml1I8eghw/V3
wUOMtwESyTXyC2YQXd3yWRz3i/SR9ElWwubL37hdro5pH6vW7WHKKqhw3Y1Gv8bsNjVBcg37iilA
RWQYsooB/tCP0WM2dh9u2ir/F+QLMkKtISMs1dgyJKdMK/CuWz8sb7c9/2p2Nepk7tUy8WM2JRsk
1DOb3V+oev+mJ3g5jP+j0r3Gc3WR1Fnua3YcdGTvXL2uw7PlcdMcwFPl9bkZdt8+ub3+/yiu/1Oq
/q9/enXJ8pDW49rPCmXrBtvDMlGdSvVBSpw6dWzrTapingbY1RQjmXG3b30wIz9PSrN2OKKw7uVQ
qF2u4dzWIap/EOIBuxtjQFplQfqwe18gydHzo2RJrp9WW/uEnbco47MszK6aqCtiIjrSFMZxjUQI
xpRaF1TMU/NDm3ZYkiKTvBvOZJeQe64CCnreVGFevSllIP32CRJyfu0KKmHxA5nv0G12LBKxRCwr
RIA0vLxLtGSQvh/Qs3RDAV6BWvCClk/jm04HFDI97/O/Bj3gz2aZs7VigPuSYsEKyXJdfdqd9rBs
cF2SMbHjjwlNW74Um0nixBc0Z037bewyKX4NsIsbVhA598kMBdS++vD1AtK70/sQtmKEaJQtve9s
IisO4mR92DGySQ+wtNtsWefYaaJcmQ/wvkzXncYPSb4ycezosg/ghc1TuINLwFhyplf21McLjP3i
jnhStpzNyMLyIa/yAQK4xTY3bB6B3+yntqmcQL0PT0QKU8EJbzaPhhd5yjh4I2t3qjOOtBGxhMFg
D19rarvC5MjsCpFEaqiWYUy/z25glQ/7xn8t3R7IUZuJyufdpDl7b+eU82fiakIe97rNl6ZSOzgq
2VH4JYEiws74op7A0MjxvXTXabxcE++iWY4xVI2RjQ3xtMu7wMjmf8750E1NOa1oBp85GEjic7Lx
zYZSjRmcxJo8ushAqkWNPgKLZQdoCwo6HB6Mh4BvOU3nlKKRlp6ZhHdpIZkURyZbeHKyzQ8G3ZQQ
2fWSWa72IV6sPHiDGPXMpmbpP29b2ow5tsOULseeULuVU9NmKVRi2wDvzxVmf99yR8bpQWw7Cr+W
xstmCq8dmvnwRaU8RQblHIHlH/xfSf8hkblhRwisyO0BfooJutqxg7bajjGzWxtwt+JgmQOSk0Fk
LVbLz1RF4MyYlWf6E6dDkldtbWn/E7VPrnBoYIC5Vrank32WS9ywz4BnzcOxDxw0ITHFE73faZTK
x6T1cv/djWpawJgx0ZQ9zzi07WHUbUjPekj6+UsbDXmcIrzJhtGCD5nQz7FzMvmZ9XWdh6JuxNCc
vF9Xeh+bLpu+9p4FWkLzPgYbvfEkEZB2pkz9qp1vZFPIWeY/KWGz/gJ2+d6WmC7h7gLPYwpPQPXB
A3ROpyj7NfVmhRckzC7DZ7nHSVLqFifpV59hm981Mt2fnYibI7wp8/4lN7CnPMR5p9uPMzxX91cP
gkcaYRIN3YC8uigRs7P1bhz/kpjctA89m0k4TVOv6tOcisQ8LDPMd8v+4l/+LWdpJn4nXtbPoJBH
9xgj7b9AbRmK3tOmaiAQFFVbt+f+Hh4S634H8SDyVYkuE5VWYDp+4KFV43PS1F1y9nC4DQcYT/bb
nQgmZifONhl/iVkt64/tLBpd6uAiaCL2sbAg0QwMRn5wp6Xmyca7i89EM63eYNxRTy8LFbw9xq2c
eOW2fkXs9DQ37RH46cQ8zWJlvxQ0AcayRsvQv7RbbBBK2mnzB0YnZ5oqxrRqfZA9BI6PdbNo0Gsi
vjaf29yK7DxorVnh6siwn20rel02o5WuL/IxqWMYHWVkO1s1WFc5n8ZR5eyYJsWodq+/ESfwBhWN
mwRyhhveoosaa4p+i+x4GC+SPAUE7Xb5DFfbNjtQOAh/T+PgGezVGvhAw2h4Z09Il5o/NY4wL3vV
pgOMVj2dvoQZ/owQOBoGSJ4VRO57d/YOLNnPAf50pi7a2fEN8X7XfpqK3uGa9gU63qv95ZeV0HdY
cBhcCBJqNeKjwlMuH1K7xRxg4ohJ52H06UALcD9HelIiEfKwrnCLDUWTuHx/8Jtt0LXYYGMl7uI6
IEcEk61tzxYua1Gxm66LPjEqTVq1GVuiysZrIioe9r1/N/FO+rvV7V6clmGK6mr2aR0eCcxyXuPE
9t0ndI7SIItOKSeOUI1v3L2QqGCeA1pi+TGTHe47V9d0Bs47g9Px0MS9LKfdJK7MtOEReAvG1p0H
e263yUcXywFkjDFz7rXbYp7eTRgZ988TlO66uVhDBgMd6IoXszciOSdEWPdC7RyNP9Juy9UjU8Ri
j43toNrfROU7dsIAyTZ7mJq8W4/4ZVt/oIPM7BuTa1vf26bryRkkWqaeFpPC4OuAcKRYBV8mUv/Z
IZUMTXPb9vTOTl3TANsMBhb2SA4dpfu2d0HfwdiVADOcAkMcH6yG62GxujCmn/A/8/c1ad32XUE0
Hpx0kbZTVs6QX2zKCPGpLrdab5/6lDlylwsNrgsdR4BVh9XkURn04mApZya/gUCy8qTEQCFvX/G6
lL5sPjTdXTSmGSZHXS2j5fMw7NN4D+huuyMrGvftF24NO0popMZx8uEyqSFxCS9qvj/tscgGi0i8
h/oMG+VEQGiWwd3s0SMgzy9wv7DmHLtWuLvNwQj8cnNvLTQBGiyjtYUTOOUx9OqafWnKufMhfCBi
U6KAa1rOjjwbEN8KSXxvXmKX5POP3Vid9YVy60bPISPx9pxh97dfe7vBggY/kkz1i0Q7zH/MJRbx
fk/h5VyNZKHuDvd/pBssbjqsB79z7hskT27a8TFNsx5XL6PhjSfBDa8r1my9n3vAQl/6tWvh2N23
k/26aZ7Sb0PKQz4UUAiLR42VIhfXbmimxq9Qrc/EjwnKK/L7rGaZor6CICIphz7t+d3AnQ3I39o4
h4X4HC0BV6HacH0g24NkLIvoyisLkYYpAKPHo59QlQ9ZGeNS78/7MsvPfMH+PsjYK1Z2246e68DH
7AtNgYsoScjrvkQtmnE4Ik58OaWKU7YWZIuH+Vm3sIcWRQL5zqMWvZqeyKB9pAoGBtaPfprddqRJ
l60vyRgb6O9izio+Z/no2+Oq4JTzOqct+ZpbuLxUNqvRCsi7yLHnMOqaH2PT+/QF8ycyflSS2/0h
6cd5QsDMcDYAiwdQLT9JiKiap3pQQm9lnmXNawDyJSo31g3rR7v7GYRo8F5TX0LGsJYlF0mnX6RF
j6loh0bNBxLAq1VHUNSSQ16TcaxMXKf4El2rkqds0RcnV2YvyU8OaGXblCJfaVoNyxwnSyH3LXzp
cwXVpGIfwFr8rEFuI++NZdOjGRdkXGXb9FGZ9FCFCyWi+1pwz4j7ki6QPbhrmNe47/kWI00nIPBq
VwSSRe7c4RXiD8s0Ol6mlM2VDO0ynuSGo/6Nxsavx5TDfRnOJAaSZ0nWkbwiCvDgwpJkPwpcRt4V
hta9fV4AnRJjObCBq0dp6/CSh4sB6m528mDzXMaHHA42G65RpByV2TOEfa/WqDlLNlL3eYFV/fpx
NEtSYkYyp9+Dqv1a1r7N7pCuwTVTgkUzodNemK1v71qnIayRgVeNy5aU++6ELiaYIbHKmTi9a5AP
fPEDJw8NpJSGgol+tmWbpKyBZqtOi2nKenaf+yb8zsD+6Z/g0A4E997bXTzNUWpeYw+JV5RAxD3C
jz3dkTslmXldIw3Yrtt4yUAjf8I8B2RtmJcSqJGDhvwUTJ6+TT5qDjLtGby9h809rFKJl8ZDQb+S
2MYl3RZfpm3d3WVZJh4X1oT7JtnU99Cs/SdBlCm7mH1Q1AxvtBejKJpYW8BOFiXlXGxxJ7wtGmS7
4RhgVRfu2Jo27yzZ9L3rQy4qbGdWDnDH3o6j6el9AHwxe/NRzj81ygO1UKVu5NFdPfDVq6LGzs1B
kw9t/LtzdXBvlDIWirUbYBlfsmT1oeouegBnFbYdsim5SYKGs+482xR1TEemvmrYmkT3a5KBjQ1a
qY/vTZvU4tlGm3XHFTz/+H1nKmWlCNnqHpZM0+Y7MtdhPlAHx/M73ekue+w3GKAXSzOuqvCJNvk7
WZSOX2ayEH2ATEMYIUlgWXueolWob1ELL+G+pKGjXRXbvnXFQjukosItvCuNQo7ii5pEhKgiUNjB
/9pySubHdZvW/SdMqTzSodblFLtb4WxRXfQgDPUHqOjU6cnkqus/bAlq/8M0ZmQ4Oo64U6Giafh5
vsDvDjMfUvICUk1PH4CfJUmViI2KcwLa1PZXBzD28LJYl+u4DKJZ23s7WxKzAoIiOcaje5+q8AGl
MU9RBQOyuT9YqyziQjtynzzpAUfyk0Sx6r9JKsU5mzAig+26598SS2T0fcCAFWXyNlE4LqIJ3ZbY
HUiWinpZEd2tWbZqHRqTf2Hg9Lv33CO2f7V2FmlfUT5HuK/qkUbrJ+b3Hq72UZpyUjhXm6EUNVHp
s93zLfyVge6vfpsObLZD3sO28GNQ7SYgOEAn8wqPZyphVr9C3fUkuiidXhlOGSJiTMycIzy1G0ez
sB1Ba77rSdz6OyJbGQ9VthukAIVijDWQgZ9QfyDj6+cyrPqSi8DGxfkPvTOm8SchG2nelY2m9Tj1
kRNna8VC8cV24U01p2pbv0tBwUVirRT2u/NyXo+6iYeoFHJJHrq5qVk5YxDuHkPfZw0+Ce9ABrTo
spdGrzOS0plBTuZ92aGSC4L0XD9OTTqffL3lH2eSBofsgO67fglKqcLAG7QAKaxZCPzF8n46Bp/T
UDawU13OO7Eo0Fqx8MI6P0W6cIvz9gNPPG//WmFtkh92GcdtxfzlXi0aC4+Juxpp9mMHaS7sOpIM
5L7u4c/6oJswfRE5FqEizmWJKuIOkId3q/Y+QpYa4ui07djXJ+QBCb93uAL6H96T7oQSIBHfJkic
87akoom7j3qlbQtJ6GRg3VJgk1FS5oiqAdVcBOLcztuke857H++lwYF/kwkdDqru2IijVi/3U4wO
xhP6FYS+5uPG5L1fjfiJTsxXpB4uZbBUYYCAT/CIST+OaVN/h55F31XNgKDY9UY+ORcjM9shMOLP
iudtqfcAwxHQOuK7jhuinmZHrHoy9WIfFq2n/gcMot2faJbWVtsS4TNmG3+XS3YZ7sgcd/uW+XeG
XMJVzT4jVweuyW2F8nw4gqwsWNFr3yA3wKhyhdldvqFfi0ho0d9x/bMHywQOjPml0wPit3mXSMaK
lAKBfkYrXdhHMudz9Eo4QHwABfGxWc8raxqn8FGWEFswuuu+O2wxyXt+6HPWfWhmeMMfErBX5r+2
NZVrGbXoXH2HVgPccA3NbXYY2zSk2Jpd+sl0qEdOYextkfYIoLpYFwMXuyZd2l85HWz6TvzSrmUY
bIJqh2dq3Yp+zVX0reuS+md+SU3u8g0s87fA9B8nlcuQ7oo5QTI7ZHK5E/AEyUvBzPBnojiyRQ7L
jhK2IHF2UCLL/9P8k2THIoT8AH3LOkMpA1P145Zyz7/qJhLgH3eiRmcwEgOUkayGREGFpGTw95RN
0y+lNpIgzmVtP75DqU30ZWpaT+56l4XfKJ2b/cGotP4ztGoXFP7fYU0fh9Zn81tUx4z+SWCZQX+j
tGzRGekb+igmIxE74jaUaZPM/tWImmvwOjBbyhrWxK9dxBi62Ug94gfqISh6FKthabW5PSaHla12
LdSwbJ+giZxkX7QR64coyuyXvObJG7Afbj9NNUhAd9GEwnhTw7YeWJZD0HfvV/0Fay4fxkQC1sZ6
GHBD4ySbzlMrxFxSPQ6+0FEtv4KpuxUzBXlL68yzB7Pp6JUzvz0xsbf5caohvXBQNGynGbYSp0Sr
+JzBkxkxbyT2vRUNDS+6mcAeXlfo/RR0Xmr3yS+QeP0OAREUZzb4rP2K1jDhBVsD1iH1fY+wIEhC
JmQcHPzjPHZv7caQJBK0EpoGWUZPI8jD8j2qDGDw9EDzBn0TD3t1+JRws3enVMf6HfLrvfyY5hNI
4BscGD52eJGCdGuilxJhOzhfGPTGyIuWLc9KovE6b9NU++nYz3XflmnGtf95wbqep1ENw8PG+a7w
P2RkP8ok8+qFNNwjYQsdOea5jqY7QCi5/4BW9HhAmBjHo6G0t1XarioBXA7GsIfJxwgi0Me4x7dA
O6LWdNIotz1Ay2sI7qON2n4tR7ok6j6K1mE/QX5s/x1R2CYVCtaQD80+bTg+dY7lkD4+SJEt5Tw7
f0+mBAln240PQbf0I9DLMxgC0HdEnwNCDSTj9ddoB5z8mIMhE97QZ9pWXEQ2Tn673DQphweO3NEe
sGrR43nEhKL73u6zHUp8KRDec9kiM0fEVOtQtnOtoV8O8SLxBIm0nJfCM72ctymb8xOHBzisUeuV
5V0RUcgeHr0gl0MY9WvTwF1xRsWE4COrfrfCnx1IGaJIp80pHGPMu/4suDvrszYubqoVitoxkJhD
miXvU4YMrVq9MG3Js5WB6+NYkO8dg0xNFUNvvvuq0NDIimFc2vYt3nZEjyaKWHLPeDLQchCpSqsJ
3bC1nMYVra0CJKitqXqQC+OXTM8m/wBDkG4tAlSg9WEJNZ2KkO4ZMhihE/crMnBVKCioHuIDvGxW
fmqD9vwXw4/yXywSVPZIbaJ4mSku01fV+BiiyRpFQdvZYfgYQOCXx7S38RAKCrL9igZmO+4NCnWH
lgM29YakEB7t9QxjbWHrp3aKu/2cZPE2PgmNPm3BNPHQS9et+RNT0rXP6V6PwCXVsRzvlnyN0lfw
JjnDmTJk95j/jEEf4d/ozRFINz2UmKrQ5efoBxvBIHF3+TlSaKd8jdVw+UIMhU+VGKF7kFFRgA3P
C/qHsgS/wtmlgBZLkj7ELKUoLqmLxrsOOIv1p0+DsFXNWO1OHvHaV4ZqLQ+KkHyuUjjSOFnMZgjt
EdWgEg91Bvk1gC/VxR4MbmlT1bed2O5rF/O8BE+kEbSCEkOMA9XVA+bZGIVOzT1bN7IjZ3E6u0OT
YMK0fkZuV6APm8gChNG9r2ZsA3XMtiWZ//COShWhdkgyR+B3CxGTv7QcFPhcEhMyh8t0QJ6YlZEy
4sRSnYbtLJOc5O/QjB7co0dpv2n88C7rM+QgG5leKO/U9iXCrxFR0SaOTMvxomaNgnTN9zV7Xi4V
9EMdTXJD8gW8LASmQt00L2FILIoVsxCGA55J9Kx4iVkLRbUa20GMv7qA6hrYvsCH+I9xazQjGeAU
BdPkwG1c4VYzmXsrpiV/oQgeDVLFvN9/yxbTiO997yd5zJpsjDxWV5MRXszMdB8ypPs4y6ngGT1q
pEbzn1Zn1OeFSwTUmj3Plvxzgv5cB/sX9P/dT2GyRb7raJmi16nBwOfDeilUoVgQcpWWfJ2hawza
nDbq3A6Ye2GTZJocDUfhww7wUVzmBzAAG+rLHTOkCZVuZ3jHq5gylz94jUnSI7LrnD0iLcrsp1H1
0tzzhvjpHC0wZv9O4riOS3bJ2Y7LNERLoXjqo8cphjrVh2ixS4cYBxn6UiAzHg9hGXLz3FkHostA
Y75+3hUgjWUeWwx5OqJGSMyYJnK/cmZ1/Zl4i+A/wt+gX/f7aId9N1JW6Bqqs9cNCcinYHFdJnxz
y12YRkHuDLrs/qQk2+N3dBUpve8kJoGljgcAAA7gE8cmr7A3d/S2Lh216DibNF1KwoY+KnDmnpi2
IcOskUIe4xgngFbPxy5KMO9hI0Y8oVCwWMuLMG+aVqblNLtz2yL2O51tUTxC0i31i0BPr4FX2rSI
pH+kibH2nVqoqv/hTbYMj0hsO35UtF3EJ+8xmqlUk/cN2IkApL1246jYQ92oUX7yORbmIaS5tPfx
AkudpxXvmsLRPOz0tV/40NxvvRHyDYVeV69lvCBbnqt+yge0rTNotHVxueAw66iE9gcLusIckOfi
KAEHvEgY829QMIxtUgoBAczhMGAUZJczEjCDhXW81+YV9/SIxjPAOBilIXcT4RPBsoNcJWgr9zdM
T+rtuOIkH8W+80cU0Sx6SKNaILFjMdTr0ssYL09Pcc+YPsmez/RxVxOY10kaJvfNd4uAaIVcIB1y
dI3eQlsknlGOGWcK0FU823wtGRob9vuwQrL+dYLsgk2PF6nXBD2NjcLcPTe7WPtSDN7LKgzm4ijn
LHumps7GcwYmr7+bR72QqlmDHh9TC50atEhjzFunYPhy7NDET4rIJkl0xIzSdZXKG4GyU89WI0Mi
Q0d+bBwu8g/13vTbR0gyZA6997Y2+28yUtL81HKK1TkmoDqeY3R95yeoBhj3WUGSGrnNSLPtMcki
G/4KM+31YwhNZNHg29K83AXSkQL95QWzlc5agP1mlz0t8WB96QKMQ88Gr9BXy56msgQ2nmFmnmUX
eO2aHwWQzc9qhTPwW+xlY5+M25PxnsP2br98bV6D6yBcgDO85Vn/E22+iFQ9zSNtIdaKeqa0I3b7
cEBmLXFBIpBeynxvtH8RkVlJGaIoMTgs+WxAl9D0soJCo12FTMJQ8WL5qiLIDXS8+71c7sfffIF8
ArjktDnPkwhJESPeqU/EmNTh7DV0mF2hcwtWNVpMMIribdzFFUlpBHgNaeb6OW2580eEUWghrmrs
1j+u3/T2OO18oF/MtrAMxcvcL/ch8H37kvNBry8XDUdyZ4elLgaI3fwf6s5kO3Ijy7a/kkvjgsrQ
A7VKOQDgHfsuyGBMsBhkhKHvDTDg6992papeKiqVWU+zt6SBKNKddHfA7Nq5+5zbR1Sj8iyWd3pm
z6WBeResa+hfjBlOgxsaJTWGd2rjDWmrL1GtXAZXOu70hnG1DyKMRday015XotoNffYAJmFSEc0M
ZX4oIBvZF5mxQXZjOAdp+Ox3IoQ0bwT9rPnQpEPfTlGO38+J2gCOwI7pfQ/qG0KSRLxFsBHTG2rF
lhuRN1G+FpHLKjuhIVYtbo+IkHrOnXuNPZThQI12vOwVh/WqhkgtDLHpD/U8uXkRLz354dShwtOu
mQx2BsqR/Ns4TMTzGm5woFNlT7GACBojI5j6NCYo2f5k82jjcl4y2Z3C7Kz9So7fujuvmU5621rj
sEMt2BSQtZEap39LlRZ6HZ3qSFC31onwilZF25q5tzSsGpV4KebvP0cw/Zgs5K1OU7fNWO1E+Llw
nrz5z8H1PwYKuZU9067hee38IUC0yN0/aaH5MU6oJa0xTHPf37NNCkSkcBbXI6v1+C88vH8QWEXL
4PcMIFKYNUGk0ZkwuP/6rM2ny3oxWjIQx6FDcLLmgrEAfthbd3pEuuWAVRgibg3N5/TPEaozVfSP
aKMfwDJJi0bnxuDvW6aZVkmOqeUaeLCPqddoP9KLC07//Df9EUz1Aws69COXGkzxnkCA3n+c1jZV
SSepc5OFnYl0UuIfKqpSvTb/4h3+A4Tzx3SiAj6M3cRy917ATI6J2Jldj9b8L17QHz37D/RZx0S/
0c9CF3Kk/loO5vMSdOm/wMX/6Ll/wEMp0/u6k6m7Xxn7EWXDespVZf/JJ/+BMJtMc2pa5bl7NOgd
jdQ8Sk2Ux3/+Mf/RX/4DHprqOZ/cMPf2Uhgje/qcRmbG7v/nnv38W//O02GVnQ0dxPtibTXZvFPI
lMmtffznT/4HV6iwf//k3mDWS6cLLpfMD62PEU1piYW3WswVCqy6izoFjX3E5OR2f2o8n/1jTFEW
yMUns8XdMw7VfXH6YbwpTOTVf/6Cfl1c/8Hd/WNIkV+sNrKQdPZ1EGYo0GGzLjRX+Ofbak7es0Pl
zf9pHLPxDnlXPBVb/mRypbnHdMxVxllFZjumM37o2WZ0czT5lGR/++v+/V3/h/zW3v3t7xj/+p98
/d52HPZlNv3w5V+f2pp///P8mP/+md8/4q+Hb+3NW/1t/PGHfvcYnve335u8TW+/+2JHXT6t9+rb
sD58G1U1/fr8/IXnn/zffvMv3359lqe1+/bLT28fdd4kHHqG/H366bdvnT5++cnyQW/+7iM6/4bf
vn1+Cb/89PBWvI1T9tb8g0d94zu//OQHP1u+54cOS6Ib/mr4X76dv+GFP6O9+pbnkt2J6ng2HjWM
Pc1++ckWP5smEb9BCBYlrF89SWOrzt+y7J+F47jhGWgTgSnwLf7Xy//dB/R/P7C/NKq+a/NmGn/5
Cczqd9uF78CQh77wAp8Jg2Q1/DhpohWdNhpjGveC9u85dkgjq1iVC6vBEdo7NQiK6MF6Hr1DWBSw
Pz1JMU1SGyUI7YD2HNWWDC4tUtKQUbR95fVhmcf1yqk3RlXpNs62btPHhaotdRXWeq/8wp4h13yU
mnWwUYGI393worjGEqvcSWFclmFI8rrxTlk4dsNOKQbRHry1KF+3XOslMW0cybuAUzPIaFsTtyea
VF5psLSv7Ho4W/xwOeg5DO62khMlyd3GrmbQJTmnZbvrGOv2MNP5e5/hrd5WFLz6EzN1va91OTWf
LSXlEK8WbZuodtMs20tnlB+z8IuXKqg5afTCmoGaFr9E2ptr/TgKoRgn7A7WlfB79bquHdb9bdWv
dgCCGC2N6G5ygAKR1I1ZzJHXTBu0qGVlIqkmA33eKySj4OaanHISQEzOApIi+bYeTGih1VTha4ei
Kd8E2Z5FlLck9OxoiylKDmcYbjzHdAEmYSGiaclMZLOwMS7G0a4mnnRWW2LA8NmXwbyOxOU1bWue
WrMZYmdq1ItSU1FF1jSNvICycrpI6KHe90VTfKUbUl5tkIJ3GFacj8w09Se6dXQzkAHP099131x0
5UbnAOVY71IGFTzXIzlT8xa0dLJd5UvI4b6lz7Up9zlTcnrumZ0kk34L8zDqma/7YHqy6Hf8Bfp5
Xqbqrun67L4E4hr29LTDY5YzxQ0YR34upPZdxBo394Mkb5S2k8BX2wtHnHm48FgXkXdzbZh7ZYBf
Hg1nLt7ccUZ7BzOT9qXpdwwgdwdB4OFqooXXQognguCKYUfe3MpoS7JF57hrxymNptVXOKTWYHxW
nudvsaoW/Vqg0VwxgJSQ7jykrbWbp7QGiw8Bv+Ox9FBvzSFv7MPCmOb+kC7Fuf3dw1AkAgHoABCi
rsbase7VuASfyoJ8n7DM+K1Ggx4ah6jdd2kx2dUDynUb0bGyj3nv2Xdmtk2XehZMKarGxq0j0wya
1wZo5NJnFzISsx289w6lMDGbOjD2yGnTRZ6uHoiPtuGO3WbZhU3rvYayMIOoNnOzj1tlyC6h2Rku
FKiEK5CeNJwCNIZi3w4ZEHEr1BQvG9PdoDkm+eAQW68oeIvws1jy/gV7Q/DVmwPn0l/mqeGoxpOT
k1/GThu8qDkPqhjhnLCJyXTefDf3xK10ZOvt6mqBtwXLUrd9s6EAMibFuRhmB55n4yhd7O2hU5/d
Nhu/ZoVEOapgo6rDwDpQ7K1yU/axXC2OitKDdY5SMdsqSr3Szy77Ti5u3OY+yVQZwWIzDFDYZbFG
ehO7vKQPH1FOLtdw146ZIHEOEySPyQzpNgXoARue1gAynVyLqOOCBbwy8reSQ1x6tMKs+lh7Ze6L
UNpXDXc4AdlizN4Hz2Nkn9+5By3ERhtIeXlkpbbzPqgaxHb1PedSb0h+N1K18xdj4wxfNM4YmwCQ
V4FZyE9cUWhedchV2Qxbu2czWV9LtVY3vQzEEg+kX/ockqV1cCkGw53rz+/F4OiDL4nRXrO1ph2p
S52owqTxygF89q5k5W2PLDZu/VSGQfoWFEZwY0kuiL3n94insis/5ytRXvQSGSGJalQbL73Q6qac
Q/FdLRkn1qCgjIp6Mid8oqnllRBW+zHZfWiztueWOAQmq+MzilwB0SFq29hjEV79gwPTMuwWxxVj
PDWbbV0P/jodfcqnpyA1aQ6Zi1qjWnGnOOSeNLuR9vSl7eZf5GTWR7vKKWCsTr1VWnWPamG8ARqS
iFy0xEdUmAZLvMMU8xgm2y8jGVYWDYttfnNDbXvHXNvNXViCCeGpWueT2Uzuya/67fME3d7tzHYJ
dmZHhuVxSCcnfxROrV1+Ns2f+xFZM1JZUO1DtvtTqS0ag6WDbSKyFhpHKu3825bK68u5XXVnrWa7
t3utniupg/yuzqaaBcWSrhfZaJFfCrqSR6RGbcdq6fIPT3lZnOVDGyAQ96HGHUHD+0kaav6uoc7r
xK3r/os7OLQEp3Gk5ZMWUsWOUbcTpF7qzqBFPu195ori9JjXADxnS+8QPzax8/NUzkmA/FsyBs/0
XkZ6rGzcuJHEBnpr1SHt1zCFVgl9jXhogWOpOaPoU1nU4ZXYdSmDC9NyUq8cBJc0knC3WeSgbVUg
b8o2CMHwm6vzMIPbqfceVOXrBEL9pZUzN6akzQ2RGmATcdPL3B4gYfTofOisECeZhQFAW9fH09yt
ibPmX0oKuSjt/W+uzr9O0jEOZl61ELuyVrEac+x8rtTOy1Si8+/ajpWYlNCRmURW6yz2yYEdRi9z
+qI7YUrPsJMY8GMxY0PcOZHVavex9Cu17fUQDDrSWfDRtn2bgcpO5nPWBcYWdYLwy+NSVoG+2bh8
PujkgJksM6WOk1X1lDAEsL1ywLfQQkVxLOH6dtZMlpfKqvlS6SlIfG6IMansvDjhYBC7jP7oQ+ma
1d6d0ypJyad7r6EGvgd5Or1WAZOy9baOX42eFnC5eU6eLIAaNJnc1Luhh+VFTbg05o7JK1uB7teU
HixMaxifnCyvQBrw7bRxUKq+SegBzttNH6BV7IizxjtSd0W2kowHl7KbB6kZI2LYN705bxC2msjV
XWsq+7PlZ2VxCuFfvgV9akU18C3XTtBVp7oeQztmRWBKHuRncLttFS2BrRnC62XrwisxWesaTyYH
kLob7Qt3GIwySuds+tpZE8cj4Nz1i7CIpUU+newwVkawsVrIlGyCxjPrPJqEog6VXrUd6tVNdVLy
Ll+bgHr4h0rb9yJyDy/Kekjjzmox6rWeNT5TRG3QIKFpvY/9OnxWNIcuqtoNsqSxApg3NiV9I4eQ
pksVDsKIfdNFc4aOLG6Vb2ZZBGY3JZ0H35GY5TR4V7PEJ4WJNChYzoS1X+C72f02v6/YVgW/z6rq
7dqtuE1jHQYBHZbKu1/CrX0mrcf3YzfI21Ng+D6+jl4Vx8bMaBoVsAHkTVrDulM5T3mVt/6a3w5m
Kq91AfoV29ZI/eKF/b3V1d4Dg0SZd5iCYw+RnDe7Y620uE5ovfKa7UqJ/TwWyUA/IJmnDHKdXMfh
3qXRdKlS3h7MC+aWRSzjLlQMVTFLBt3aQy6ast8FmRPUL9It2m/WUFv5A4gzy4VcztVRkXVbRwb1
VL1RKKQP66xXZt133SjIcZ3WjdsmlPWurHO/oUNTAE+wQK8TnpFsei6xtc/sy2K6Ve2aXjZqnokK
rYZvtXLNhwXcfUzMLqzuMyZefrJ6ET5bYNgHi8k135Q9i0+w5cslsJ/xuoqUmT0p+PT90hbqlfWX
csFhrKUT18FYHOrGWddoqUVwIuhmfWnztdrooJjVi+eIbkrOmEbNIgDxf2hpBwFRwm+OsSRruKJS
FiWwjVFRxYw5yvExoPqnZT7DwrRzZp/y0fKqfS9K0EUvY3eLHCYRrYfUzmR+sU1eeekqZ+1PyjGB
FPOiIgFUhVX4fW7m+n0cCJRGbme4yW7kLPXsFCtBC1624Hw7CIREI+bqzZwLGlDDzJpVdMXexfc3
04Rs2tB4a4fRP67wh0GbhGQyFaesKdAC423muMPwHkLgPvd6MYMHt6UuOUCdWfB8JUFXPsSLenMb
HY0rc+L2C5aZaNIV3i/LaSHQmJt0srmfuDA3I6ivMm8Cpla2M9s3WycpWG3MZsBE7pNgv9kuynRN
72lt9NUdHPfG4LYS+5l1VTmekTKedlEVUTiS8BeBKm7Hdj3PnFSqxh1WaIas7/vrbGspjzo8PvhN
za52bqYCtv3CNcc5uw0WX3m35KKly7EY8ynRs9vcw6H0xlXgUpM8rZWwtgPBfa69H/WW5SfXLPLi
c04jtj7ShFrXfVeCfHzBUyDewrwovahbAeG+MFK4SSNfS9OnSJrsVPK5L9ZAIuM4UmYOus9jWmU4
hBO5WuILqsw4xcM0LDAnaWclae6u4RXbd78cy8BUFw4d7WFnQT4cCTQqD5OcqCWs1NOPWcPMh9Oa
e4XYZ0NnB+g3ShbXrQOWFW+12U67qbTGfW9kM6YguXgHIgrC9MIeWg1aXwAaxkxs89OLpldrbzHS
zhJrxM5Qlzvwjmp81SXldtfrtb6ubJjQGNuUu9FpXqagu2hEs4bHFFFpjSaXHONnNilvPDl6aihz
xLJczYsd0PTIc2ZXfQIKoV9lcg+39zTHiOH1OoJeQV9yjnbQgXdFH4avULOuE4EVdbgMeDnYnYd8
3Y6mDPz5MjOcrQKod30n2gx/2vvW0DOBPmAGdV6Xr2FhpFTkZifvsrJjT3TS7oth6zCLKrFhK5EP
cONCJUNejlw84VJhqrPnAv7d67IkT+mrW1PNNtVkRvp9y6n1TqZfcDJCYpizaKqy9X2Vg22fxsWU
FKxiHi/6flaPMBFeDNJts/+7a32a7d5waLRUDwqik+xa/GSXUnPHUrWkNHlTAEMPmEbOX0c/UBXV
ewAZ3MLj+dHKUbg65uMgvXhEwHsepS35PIINVqXKpXmLF7OyrsnhmmXCo2F6HKZuGUnPbNEmavGm
mDFQvD5o2fgfPUs/QCJ+wE+j6XBiKmkMv9WG15wM5i/gjPFp3HXVqOKp3kwvqqQ7VMlWu/atW0n7
oc9b5ywQ1qeCeX/bV9vk7fAWb7jkupyeeOfDowNUyuNb32zxr4ynTjT6TY5CPq9rPmEZkxMpzIVp
Xcy2ibsV6dGMVWBWr7KcfYZbD6Bqsd+aUMHL7HYiaXqiRm9CpXrWJTuow73BC3vuZRle0mhb8biU
LdpSE6QLqXsc9pNxSLE10EbLMCLkjENLFhWkrNg9/OWvkt1v+uHvZLH/1iT/hG55nb/jd22/T/8f
CJcOOjbdgH//L23wfwiX12/Z2/A2ZtPw9vfS5W+P+5t0GYifQ2GFQuCaIjaLO/+nv/xNu/Stnz3X
NIUwsV6H8FX8rt+0S8v6WSBaekFgW+S6O+c0v9+0S9P92TNdtEuPhcazwTb+X7RLtM4fxctfVVPf
xOCLcGk6P0a2Mts80BgP9I6FxpqP3tlAcFYqcRRlzndZMkSE28AP7USH8zZEgZx7rIxSmJeh4Rv5
LsCWHpXN6Lafa2x74c2sxPknmtF6t3vPFEm+2SdfOwBHdO3JzK18OWRMZiuq7t7FmvhiOG4uH8WK
QeyesOlqBIcmYjdm3sUyA4B6KQBIdZYzqZxCaCKG7JUwnqwd+GksINPQqrn0OW2Xfty6jbxrJml+
Z9Cegx+A0Y1xX6rw1LPBPVhlZlg3qmRvT3AcOzgdEG7KW2TW5YoUTIzxbiVGXsCwXEyTwKk7uO2c
3qSMmmR/DUAkcaxZn4F5VvOwGBzpo963zr3qFKxGY6PhdtODU1yxx5tj3ARjVsdWqeWQtPPoMKRC
FhleLcw6+wE1WyS0VZDEKA7z4hZThCBiWFufPAwSV4awV7nfgEaqo0GLpLwAnuUc6UlsGpHnU4NF
KwTsSPZB4Nxbk1mucSccBSHpZslUBDICM7JufRJcr6j5M3wcsnsdTePdBaooUKbLVgFTnCMKcdVM
Ef2wIAqdKn/h2WhezXK4S0EY2pNbdQAFG2clwpuEdB5K4lvldSPTJY1JeMa2iaXWHk/Nuhl6v7Qe
KiuVqrtdO7C0xoX0zc6LxbI5xhHGongZgm1RB0V/b75OB72Gscs2aSUBrcq7RmtzicEex+YKcpfE
BswuKFPt3JlHd8LVGI9rjhdEOGXWXZa6zvHleLaiHm6W5mjpYJrQuVur3ckNYTaZZptqdrSzPN2v
ZTlDt6ztuO7wz1jmLiOV0YocoJ2nkVmW1bHQtvO1g1z5VMNJxp4cho92TE19wVWHXUTU6QpqP0yT
TlyzxbQ6CHWS1TghKG/+NsTCIBcaMiH1LopC2F+70FT6mJkYNHeZluOcYD/hE1uZcXEBd9nNUU6g
6RV9lux+yP07nxPpp3FkGlU8pb1xkqQHY9tafBGN+HFegqYwHwyVjV+2cPUuQ7c8zq2FvI4vK7Ae
0wFjA9mDVDVPQGkc9UxRtn2sRLc+oqxuH2R9bdezi7smxpicmbeDkj4Wq7YEEbGarZuPm5D1dViE
w3TUTsvcOlHM9euEuHIbFr7oE1hOeKwUda+NSdh1nvoV8i8SVs3028AIyPsry8blcM94DRrduHyA
FQ1pXio4E2pnWTvXQ2dSri5Zu1Ykc9T5F062lt6B/HC1m9IAkesAyJK2z4AtA5E+GxtO+c0n/6LW
bfMBGga7B628l6mjX8KZ264fi8A/mGChr2slz/rL2UosWxfN3qnby4ai+2mkcqcwWhF78gpANHcc
+27AOjOczzLFUc0tGmBu4sliF7XqY49m+Mmsy/ES6lx+cUsrC3fbREDyfalzHyzSzub0AHK87JUl
s6/w7v0aFWRtzRHJAed+Q9U/od3aJ735DhVL1ZxFHW8htTn1veqjc7OBInVDHcBrsz0rUzbv/dzO
If5OW8sD3fagS+rSl7FfLfPOmeVyQ/aGwag1yy6iWbbV8tgRgP5rjIR2Etz/NHmGsO5hlq20u5gx
8KuDXsExaB2LrkhK2/HKeEu5VmOGp48vzIPzb5vZauPQz40vhAf4zaegGA2RLEzVw9BYhiKBQmU6
i882GLzXxmpTl232AYaRyzN7gQISXydV4QC12mLn5OWwD1XWJ9kYeAZLeG0nrUmBgmkh74+eM7rc
oyHTMThc4jXvQZuaJ8p124lNhzbX7PTpQ70a4kmuJe+oZy3+vGvwwy67yimKe6FSCmMlLCqzALTR
uERmL968GTj7KJmEWV47drrFgWTJAbi1611ngfoxW2ZQd2leSjBVlrlkltqcWC9yZuUwZZYrEXc0
UBiemeVTuG79xnpl5mk08s7nu61zvPtKQwnG1drUfUxKZ9cl3jrzh1huhmuAeblsAJsPVZx1ILJx
ZlBBnPLAcrAq1Lm3a1jNQnDQXF+WUy6OXMybQYloypPWbZfHaBTheLQMmlz7qXdDtM8C1VOH/Uuj
hvbemKeccrDPt/fSgTmOWt8lI0UX6nzArZnZHc+qAPpunLI8jm6FBEPm+TkA1dssJwpAue5SeiER
6F1d3I0lPbgdbUb7jcGebHRB03BGbIPxmubngr+k1OUIaczSGjL2OoxmX9Y32mvzBzvI5udlbcOL
cpWhDd5jbA8FasISyQBG8roMt/UJWTVgcEJB/yvC0NV3R+2p4Ju/OOuxtqV5gw8WVr41FtpfxK8s
fdTAeSH5zJydzVxn6a2zFno9Oqrowrs18OY5MmDfrw17CF89d3XvC4tscbvINaxE/aDqMMf0vE1Z
kjZmzpAILAEIu8axyCsRBUp/LboKvLA7y2NiLG0E45rmi7S24GXKlf197AA6Mke39DE23BZtP5cn
oTkzscYAETKR7pGznjqrE0CxK8OL4lkjBhl941+YvS+sw2w3Hm5rL0uqqqA1AumfcwwGGlUbojtK
TAYG3bvMn/NT6OF+S4dISMt7cCqjLr9Ahssrby6X2Guz7ahrAbTbhecDZbfYZnx20B4KiRwfBaY1
MeVZLpdGtkjaWJxfd42fr/6Ow71/M/fG8D5XjvzAopO9ZuP6ZJhsrNiupJPDYg/tPtedk5D9IjZK
Dx+L/sBaNFB5bdZ8cprJ+8pBuxMHs6ksjLBFcTKdFeVpSIN7B04FRDU3nyrP7r64JnLvjU2L8Du9
9WahNiit+tabMk5bWbEY3t61aDZba9BBcZpLy/HfKfVXSZvlYyGZa37GXdPkB68124/etcVwv6SW
759jcf3wwqlh76/y0ORtlDKkHeIQJvxhS2QWyhs8NKdUoKqwO5cWPLTZ1uFF09jzYy8g7BOOvPXj
Eo6tfWq1V28P2Dcf5hEoFhG2n9fIDpf1fvVtkrztLbs2oceOaBejiDM9TIchY8uamMTX4SjJdBtb
fcptQiFO6MU2ZCdUnOCiKYz8mIaLfQu0gLJe44zcTVqrGE9UtQsFk9OjkhrkY3Bs/clt/GzHFFMr
8TFiUkW3wbNhNCkS3SqC6RTQB2loxmMHP7DQhk9rXjgfau5ROKUzNLe0QPtnpYkkKGziOy7scq2u
Rqv1q5hkE/PFErhhPGq1m3Fy5SGsZon0UA9efXBrz4FZtLQd6bWjwWCTCfbOBonw7ntBydxWw36Z
0vHNGvqU5uBcIRVKQCXsEH3/YuZuZxB7lfkYwEkrXGIjXxuOsEo+YSkImHXk4fcV1IuPS19pN+BK
7q3PG52oOOwx87xPzDGn6eKwGqcc4qnJ30z6f7Fas8eitMyTYdms/OhDdnjR29Ah9GSQ469KsyrX
fV0RGXCTt7NN9NBi+EVkOMrOj1ZHT2rPf6E3CPYSglpNsI193qtuP5Idri/VFkx0t+kVx4y/sR6R
vMw8IZFDklRSdg/DiqbCtb8dt3kjeaYM2OaTZlPqLsfXEdN57i6ZomDvLYOqIK+cb4531pHpomPf
GYLCPY3FuGYvoLu4GUOro3lad9hwEWYEBmgCzu6cRSeM0uwirVS+671MX4g6bHcogbhMRgy/iiby
Xo0biSNZ5Q9hZGeue9PrcHpYmO3C4Gor/9zx3p6aRg9lzOy8Ep+ZERpeQihLnu+El9l0m2fDeM0m
0mIuCqPDgK/s2v+02LOHFlE4JjkZw9y+0632GbPNRnsjnfPhrPXPEWcjw7cf81Wn1b7Nw4KP0N1e
8RItX3BWpF5S4L02SaSosek5djceHHvQX3pLToLjWOnc5pkNTGDWrLAFmWB7yODsIrVb/a1O+3XP
PPfqhLq/5cc5bJ1rDg1BSggIUbhF29mMnOc4k1BkwIfghwY92Eqtv2hrTbvIggG2+BRTWuY0rWNC
x2iY+KVdFjtuZoTphcS4r9y+3tWIWRTokHZyTtnRyCMkS9Ulc1btF9FjD8fEVd9agmJolzI02sQ2
k5GSx4lYAOfnRsGpiuONF3PIRVJ1SuuLO7GBxdukOL/i7XUkXumKpIQUP+76aUiRpY4GnZxin5OI
8cH4Kfc0Z8p8rRlJm4yZOxzLjmV+s2xkVXf1WGsIR9kNDc43+jOyiMhNIbhs1QqepLa88Ytj9Omt
9Gf34JlD9jyAEQTor11W7tOCDss2TC3yXWulIhnD1EvpMjbeLqh1SKtmkUw7J2CBugZXmb4NOuTO
GFNB+JGHdvBoj/ITns+hitzCCyNisoF+uo2Wlp/TxC5FcLGOpOUAWTYnrOzdnT/3Iuno75NxtLpV
tWMk1vgwEL4X0c70yVpo8vG9mJDL96EVTsPRnzBNcmSfPrppm2/1UBBXUluC7rTbSnnuYSFFO9MC
C8Tn8J2+xPYwZ2zwVKPelaMy7542EQa+LF2uiT24hG9yJyxmgHr4gGfmRnrvI1zBHRq2H+VWs1yS
o/aY00E5jEVFxTt79su2ZR9cbpr3OHcjgISPipCI05jadVLlAe93QYWsTe/GqY3uonZH/qC57e4w
xrCBToP8Qk3ByD4WP+/RKd+E5brElKcuhX5jJwBQzc50WvdUwjs9MiZPHAi5g7sMs6RtR5vmLTKm
qgzzmIrBIYerPG5NQDCRp8oiITK42Rf1YD8Oprle+lsgzjar5hLf+fKmBpgqJy3rmmyIVegj0SpE
grBILu+b8sA7mhKOZUzd4GIqe4ouhNKiiufF6N/c0gvW3eZheVmVPRzBwumc0pY7FEW3HLt05bg/
d+Ud9v31xnMdF0BoqcgZApkMo2CZtm9rMeIGKKkgY6aEBE8ov3RcrQ5GY2wczsRVEC9dKRKLSv5b
ZejhMJwDc9lMPvf4ecxoa111PXosohOQfhGDwbrpoW5DeWSq3aGvgvLQEKwTmXaH+FF63fSJcrdH
oFjHLta/njl0Bzc1uuX3wM5COpLt9rCsxfZqVtJ7aFqCFLGTMiazt5x1jBocBHHuslyi3BzcFueW
JbsDBjzvVpFnxwvSpDhZLp6Yg0UG1t5WbUpPfHKv5orzqfKd/vMyiEsyiwhpEq7vPmAsn459Peh7
bOYIRyKrg7hsys99ZYvPqai7pFJAaYtNdo7TrNa+c8/y2cgUBChVKLzVvct614NYyfOLTlgR+XHq
aGv/hhlbSwy/4VyurmVSSIVbwryDftdYE6r5MOdXwyiN3cxmvPdCQXnHdPorFqpixy0TvDRGT3Sr
HKDfG5ter2VKukLAbzQ4Z/2El2LcM0l64voIlXsbSMDISBYeiXmVARilhjVq7abar5PsLzYcfNal
Notu2qGm/R/2zms3cmzN0q8yL8DCptskbxnB8Ap5k3lDKJUSvTeb5NP3x6w6NVWF6T5oDDDAAH1z
UMBJSWFI7t+s9a3jHMbdNy11xZMNrV+jV1m654XlPT72zHxtiHnZO0Um+FYXcagl339bRn3gdHka
nVjFUYaoWG1H27apc5bM+TGV+bvUeCNTpTMv6JfiExN4uOf5UD00rPsoh0LtmpsoHKxQkXHGwTro
RcnqMq6JQMd3BdZteoir3LnWNn5Qv6cd6H0vpr1BCGAnZ+Dz5dERrfspevMOZ7vadJO2UJCF8520
ZhlMWj9vdPYI/jo4ATBHPvWU9kc5sULx52qRL9Io7G82GCUUTpwk0ZCcnaav9zP9RgBCqkyu4WTP
P5YkN5+zbBJfqh00+gHPvhuwo6fSXvprrc2ZuonHOqam1uID0pGPxtaNLtDMbjpQes9fsZsWd1ln
G4dmHJugFQWiYAH23xrmcje6WIn8mcw6KqnFjgzKYYdlcJYmi9q4NC33WL8QI9js2P8Fxf9/tjH4
mzr6/yM9tGnINRHpP18rPL0XSf6/ru8/h79uFf74sT+3CuSVoDU2mPF4rrUS9P/YKsjfDJ2Fg5RI
m//QSv+xVdDN3yxPsIoQpicdA2Tfn1sF9zfBBICfsizHoTJmF/GvrcffVj//Z0X0Gg7wvwX2jsUy
wHA9/sfmrxnC+IeNpqXsHiQc2oBt8Z0eMlDPtOZ7YZnRpqXO0vrsZLFUPkAzjX+Xz/9NPf9XMTYb
kH/88XXJIm3P4DNhasUb/btvAb2qSBXbu0DPteUQ9nLF78HHaKdu8oEhsdfIU+PCJjZm6iySS8+O
7YMNbhQAOYsZyvZWt6ZvLtN1BEXiA+2yzwgHJxSfiXlqWlaKSdt5NyZg0C2PubGCULNEM4cxI9C2
du5R89gZwCKXTl7KJxPBJCwRg18IJqVmN6D0WyjNFBSD7G5QxEDTSLKezUW/7NbeuGcF0ZlXh7nP
k84UbvYJD17u2xkZgOF22pOzWNNGupV3uzL5fMcxrZsoW5W4mjY/p0ljBTCZc19PwfLFuQQuNwv7
7CE93K+1y3EBu2VuplaDbow6ScsOltMYl9UDjoFTSwZ11Dj8zXODPIQnLFa/fZQgjWmp3tnMxLP7
3Q2t1ER9XRsPKELhheItp9iCnNIxMZsP85h2lz5qNURfTVzcM8gZqd5n8Q2BZsfw3NbKeSNQOFCC
G0q9qSiK8de7qngE+vGK2dYOcIAyczP6s1taZ4+q4RClbXcYW5cHYaN9l4MAFTGAL+GwnAAGYNc2
/CxLearKFN3tYSmm6TqgOeXLyrLz6E7FPo8liaO03xB/Gre6lLgYjnE+IYwcY/UUwfLaI+CLtkmL
qK3rEL4vA183RGTxnpdSBLKsu5CZaDHtM827LZj0XhDtR7uMju3G1NDCGASSU/4gC3C0zj3ofZcG
HneODX1l0C9zouIaXXfhYJ4kN3dXazlfP5RGhqO1deREhcWsGcx7mZxsZT90rzLS3VfszuIGdgLX
dAQ/Q29McEpc531EYhZiH+vGnFvvaWT8BoRv6Lec00SziKlD9+jVyHsbiiO+we7JMQh19m0Km0c3
6jydA5WlZQWgSyOZgD0BCL4O+cb31AXotavBwAk+YgEpnqCxhLtFVwAnrGV1IJnKsMiTSJLl6paO
+aO0wv5BmCWzKAfoKQgfd35UZuh8LpHRPjqq8557tPKND3hP+54mxnRJhsJ6IsVT6NupmhrnaoGu
YvY+jVWLus8O1U7XtGbPujVl4caILWLv3UTVsc8i9aOep2Twx9QwLmmrt/p31+1mNgQgqDwbLCX3
tUx/dFOb36kizbaMHvKnLjHsQ1k1R0xONvIk9bWsIh4KM0UbZ5pfaEHrn8nUpYc5spMbdonxkX4p
YwZRI92PGnO8So8FlLATNvUDI+NnqQzvIw3N8KhVEtuAjbKg7JSia+oK+5CJhmy8RO+6m4V+LJjN
sn0loaAJ8kHpVxDT9nu4jOVuANT7ZUhdDxQbrYdSG93HSnn6O55seacPy7APYwzB8+R2z8jDyJIf
O3HpyZp7g2XavFSpaT5jk7eOcacYDaIMCLd2tk4MhyFT+xq/KHb1EjrvJoEM3H4gDS6jc2y2UUcv
k7vWs1EllaJP68O3dgn3IQqrrzA0pXOwZjEsgc5wdjnQ2S+MXpJ0Dtj7AYSJqR08hDLuNh3aScDR
blAz2dMsWV1pXrud0jF550qbZr8M45kHkuPhl9YSnsa0pm20ASiMbt2p8QRvTXMoqLQax7v09Vyc
FnPWEfZYGeonVzPcY9i4+ncbWhdC3WU8NsIJXzuT2eM21ehfQAKqRCPIZuS2GRNg8EhxEF6HvQd0
Z7bVy5ACgzyGiJWA4DKMvl+Z+mjJWeYEISvZ9xKv9rVv4844Uax7wajN32YFmHU7R3ww4Pq0xxJE
3ycTXDA4SxUHyjGAfYthANQ9j3PfsA0oyjcufpjuxQKeYoOO0jP3WdjTPQ12gwq7odNUm4KysNsM
PZFxvqVq/dtUj+aqRsx0YlsEIAM5NP03rVQQsxxmca+FVYu3JmGELJrF+EiG3oDRs3hbr1/aHaPE
7lZN0vvZmUt1FQyF0r1p94J1vVxYh+TQ+/dzhBxswz9LzgjTUehGtWM+hTPRFmh4uOn9Ck4AermW
F1BkCwTtIl4QMSs9ZVQSZWmh4cDP6ppnpsXzArgXQfJVxlCSoYI9sAuXJlhGF9mkti8Q12m+sZ47
rmlXLxw9IbNydL3DpprG+jlL+uWctSl8eS0sNyp1e4jD+XRp6pADD8m95zOJ6U/sxuDV5bGp9Zui
Kso7lD4DTSa3Q60hDGAxbt+B5ozjwCscE1jsKK8ogNpNhOrgUswtmkg0nefCa9Q+zhCS+nQ1ablx
pcUM2avN+EHTPR28vFg6dpCjEuuNTv+y9K0RRMJzf6bQGiLmkYBmiDfzuq+WuSyq3gwBsugnbYcI
iErIQ0z7VlijtXVF1d9rWbU3ezndxUr3HlhwRC86+EW/MmZnE7JULvw6NijcS0hDODLbSxdHMYiC
jtvWkJr1nLN9+BjZhnPPJC2QNhHB8ieHHWAdoDLhm3TjN+4Sw4grAzpADuShYfAmqpoKwoifxilV
13Gp+eHYarIrzHMdt1JuXi2mGaOvkHs8TEgifHTG4gyaPViKovDHCmEX8jpfqxZ9Q022gzxZbilg
Pxgi2luUUbcsfwQIBoZvVlrz9/hBKPOwN099par9kkki0us63lnAh1ZfROnesQlm9iQ7tnPbzLAM
9j+yrs5rQN0bp5xCIMZFRR1EIfRVMOm50t5P+RHO7fIgYY8ibjYh6qCd5QUdSbOzWt/ILCaMYAw+
cTO4/R7mTv8xuLiKd0W/bunGtq4PDpa2S8a6lJYa9GW9SQuHNUaOTrIja6AI1bFMJIhyllBUa1kx
lJgm5oZ1cL8MG5YoQOOdyOY8rIdkeO3tzngFZZAHTuSyBVlLFWjmcsB4JFw4XkHaCPmx1JlzbzEE
e9EXSsoNmQfZKXLN2tz0BtVX0Haiem6iopsCXY3cTwWxOXdNVy/XTLTjgewL63cBmoAtCE5Mum9T
l7ViM+FkrbaZK6f6GE7EQPCiJa8EoN4ASx17RwKgLWs/vQwQ7I4RdmFyoqfzo814BW8CkBJrU86p
sA9iqtrLoHlxF8xRVV3itKi/elQ9POKBF43r94KlJiQMHSmftHiIJaOyu0vbqFzdloUlQUVixwCT
gXh1CaxIm5lOisktt2mk863XrFZhE2ZekrOTrnt7Z8PveBzbEBEJy11MR+loGOPJkw20EF3PKDqq
3DsNo5O7lD1iogKWoYAzZGWnGmJnR7VmuE/1ooxXuBwS+bKXjifdas1zoQMtX3joAFbnUfGM8XAs
zwCB4oY1nmoU8x3spFsXlxolKyO2M9th7d3VQJWx/YaAhmGJMipQRtklDILcbtz1QjJ45jvx2hMY
1fA1z0d46zPzwsvCaN092iQQHPOqHRCvNtqn0NMQ/a+OsEdwqhznCe3fpnLj9A3Hl4jpErT+lW+7
vrH0hancUpj90eZhjkU5N86LheXSI93vUhAikLBkWRWBvPVg5kUMeLas6VqPdh5vnTgKO+Dm3Qx4
wGvsp14YmLz+TT/2D5yDY9FlekKXDhFyNqB06x8OeHbI7P0ToC6hLnIsG9GPMikf0aW+mV7xSPYF
B6sTI1Xsku8diqr7v3TOf7Smf+0H/268//3PSyFci+pOWEL8wyKfhZ1RZEpj6BR2jU8gX3nhw8//
TSD8r472rx3v+i49Y+04BX+HqIO/N51ztzBaXciCGyM8KsPIGG3jaKbmHqyYKIZNNtaF4Rsew/yS
48nYGqy3sBxiS3rTYbMcZ60cLrIu+gdQ+t7N+pFtJLbmq6bq+Q1/a00iJMLqzcC52N+x7an+yIL+
n3nMv/Gn69JYs4z+83nM+b0t8axn738dx/zxU3/6023bkK7w5HoVGH8ReVq/cRLZwubKQCkIIeZP
kafu/mbZhAMLEE+6s3bof45jdP0328Hi4fH/WPwH0eL/F+MYaQPjA2BuojKVLivPv1+csrO1GjhE
HwDuAmc330JD/cLsuhvpYLSwvx+r7Kux+n+Xouc6/7z7OHjxxtNXCUIKeC+r9vQvgIoo5skkl3wI
ZOi1n4T3IIdn7kD+jI1j4WiIhcM5Qf9KQvJ6Zk+/ju98PcnpjOovy/Y43rM11IitBKd+5c7VOf1V
CjQJJKgtfncOC9HN7p2VN9DKBzHGO9MOjU3cmtQVcnROWtQjYoRJv+CfpgLJ11qE+dStwsS5lZQp
6VqvDBnheR6SiX6tZZymfJjX6qbnqJGaIc5sFIRvsXZ6MH+VQxM7DZJY1hop0rOr02kUTsNaQ4G6
fYo8l79H1dzt8UsW97NdBVmdXlIz7W6ymo9i8hZ9YeUjKNOSXyWbWqu3Yq3jzLWi638Vd2w8olse
Cu3FXms/nUWRb8AopiBca0PG+Slc+zR6SdbKUdoj3vGFuTKgpb2ujOEeaLO1DddyE+gllWfWWhr5
GGs9ao6ae6tgUX2Fk0G9ihuG2jVKe+9nX6vOCEhA0VgCeOIZbxYVb0QqjdyGayHcwYLOfcxBGae4
wVCGXmBWe1e48dkASHBWjHcuiJpaLDe2vE5JYd2CmkziAL2jfdesJblci/OkQ+ww1FN5N0UKGyZM
HDSey1rSS6eguq/XQr+yhukyrsU/foRyk64NASrh5cxsoH5uSszrm6butGjrrG2EgQ4VwjuKBBa7
a58xuCyK7yJoninlbVYwKpoHWuGxbIqN1dUeDn+Chw4cJ9R7VSyWF4DiDPyhGkd9jwwFfYdf5+58
y79DgGRgG/y0NcdGrTuMZTAiSL1DwNfpGwHX394MrQTJrhM1gM4JmYlbVum4j0aBjrUDWbG3Ygci
VRXV9os9MxsMlnSW4VaOGGhC3I6uT2gKi1fGD/MxLCj28ZjZ9c0wxP33pjS4kLJGvEWiij/D3qk/
+GSShy4rvVvi1FkzNTMqtCBh9flG48AcJhmYUBlpadI6Cn28k8bAX1mMWD+gnfb6Df2w9V3VVneS
SyqnTWiNeegnYxqX29jU5wAkkbFLu3x+NKrFfCh1FzmoQlm0bNNihUrCrZs+moJ1kp9Gqr4fQ937
3rlV/NomfHqB5bbVjZfnGfxaL5IvIzs73xkGfYKQRouNBbd7Rl6HH8UoW/neJCly8trRGLforbTZ
4qUUmo3e6J8a1tXHuK+Ll9FOw3sMwM4bWE4UgbGZ41QxFCKCiNoPv6c+ZiBXcfo/VpLxKHWPRILW
RHXhh8QUdNuO8YK5S2K3p+lo2a5u5eQYfhRjUw1iYbh7PR6p5+Jo0UkmccUBQNs40ijG7UOrxgYt
ZCTy88LKRvcx5vEUycAaIunJlXY71zPMWz1zsxeUr0xShahQPMrSQUSB71RspW0Wh6VZAXa6ljoE
DYzGag1JVoUjyTzc8amb3mlE3twZvWODHfZsB7Vmqav7pHLNF75S269qyTBOurUMQku2j7DY460F
djmgki/uc4SW6BQ7iWFLTs2b2THc9yceQ3j/LPmdhznfqEuYSex3jo7cBSej5tGLkKUHnbCmx8fH
xlyZm7ynMZl4pVrdn4ZIziUVZeqRxjGWPBZGEoHoObRlvAKtVi+5aOFcLlYOyhunrlEf2GQY30BS
UOVGA6u8QOgaEYlImdIb0i6HOw2N67M7TzZK7xCtX4Dgy3pTxVL/bKIFoVgR4xb3E+GxuOpJLlk2
dY4lE3Eh0/KjHmqGgxjXzK5FWYj4rhKRigNLeuapGknE23e52XunGcrnqsLQubvaChHm1sJu865Q
pIebOQpJWS6NMtx1ZcdWVHWOtbNMZkNbjJ8E1ZFrolkbLpwWOTc8VgyUFeK8DWhmb9uEFUgFIsg6
/gnejtjHJD2wfgVRCBpgOdGFkLVluOENV1L73Rk1/UbLWodxVFucwI5k5yUFQ7maw/KDjGdO0Kwc
5lfCHXnokT2krlYP7T0o0OI+w1smeIS4kKbBHm85P6tSysdpZSAmmE4K3AAiq7nlnPZrxpZ+37Jx
iDdJmRL5Ljx1dQul73ijeCWjqngtq6g9RZlbJRtmMgVwiDzCfVEu58JA+aY5Q3d2uPUCk1f+ThDT
FbZB6A/0Q/iYKaR+wO7Kr1Y4dCpguIPwNTNhKm6M2nbEIYxmQXuFMemdiYXToKjos/lSMZoDCy3H
+FXgi+aLXiMoNu40MbOvdd7bxMTwjbhO+cTjt76bWkPuaSHnbxXn80Ua0URsF1lr38Cbw1PQuwUh
ZyTWvnpMkaVsjAEkGrZNotw2bI7b72qw+zvL0Ub2r6FxJ5zO/kQjp23cMFmebW6kDw8PprWhsUt2
U5XvDSuZ641b9Sh52rxvfy7JyDbDbjrHBkMKYnv90oz7xGqGR2AxwxFNcpZfWMc632w40l/otIhM
x8PM6AGJGhEkQxovyHqQABrWcZmsEapIFLpvM86Jd06X5J5pcDzx2CIRDxUKs858W/W1xmCm6TLn
lgAwBP7WyI6IGAHyIzZoYC3cYAObB5y53AQzctJOS98bqH7Xaqxex6LF1d1iDY9T5v9JgRBtR2GA
vnnoNQyHc2zJR7mYscJNa6MeLNj+7Op40tCg80kwE8EJMQDhJIjLcD8aozfPZSxddMeOTlsaVmiW
GwyVl8HSIbXiqcgm3BVoL7384AguM7YjHSkCukGRwIra6b+QaqSAggaHEaqV2C7rBBmFMDBWF4eb
0cJuYzRO3J0mMnufcIeWi2YkkjMQbsp6ERmvVp2H0bJeFY5aBEN6WVII5VhHaKj1Q4vXp/TdxeW4
5IDXv9osDCue03n0lrTluGw0lkuYZVdTiiA2M4iTOSp8J8ZUdcFxMp+SJtF+hGyKXICLaC79rMW7
V5NX9d1sVj9zPqCcjzQspRuzm9N3QqR4CvzuWdIXTX8s3dqyDtFIogMH1aKeFRR2DuNfVpo5pLn2
uQSw2GRs9aOb2RTmg/hlwskVMG0/IVeyxVNcNsdeGs7PghE2kPpw43pZvm2b2tuYq5PHHq34VU0G
2WPaQsXW4mFnDtRV/ijIuiLek2YVMywq7B570Lz6hIS9ge3B3NUCfZt6i+vT4xY7K9HQ6IcJMzYm
hhvkNMbtsHqNIonrqMBkjv9o3hbJVB4inBSpP6fYk9Ja0wJVlO4OAifTMC+0OHLH8A75E1ojZ3CX
ndsWH0Ri6q9cieYX7Ng0QK+yIncqx7sDI9Re0nhSGr8xdx4WfU6qQPRe/KjNenFjDIrPj5vihegL
HlfQwZdyj5N9fg0tVl7dL8NVsrCGYP0adToTonr4IkJg+LDiETU2unaMI5UZwlYp6G6+TIY5CAi1
GNNWPZNEVXWGdaPYcSISA66PJJyr0M8SVcZbfZjVV6LB66iXBv3wwkPFr8uwHhBurg6ysIzwY4Z9
PxmHAUkvHOdsmk/WajpbfvnPECIhEcriuPJtazZjjrGyya/QGwcmoeQuCARLeRtEukweUdZqD9XM
MmFxiKlYCgRfTP9bh1GUqzaMUKGJ2M2gWNyVUjtleUio0DTD8+Milt5TFYI/IA5hphLkoMybbdQy
wMSRATidBDgZA7WuiRjZatbMR+tY1bOO63pX44STwZDVAgTPxIqEyEWmbJHd5a+Ev3jdCZZ2/IlB
Bbsf62iqolIrKBF1rGM9LASjehGDmT+pTrg/jSKqDgTLMZ8cAEe/lXTGJMCYbfqeWlUkdrSx9i2r
ErC7playtjR+mRCj1Y/IDmBGPF/iqIThH6KmcsG2TRzDVXPfgjgbMTFyGfptslBgD0Q/bDqrFXeG
kzT6OXeBoO/m1hJPzqrGJWfts1zyyVllXTEid90JpT8WWhodbHawJ9kSRFD1LGkITVKee0qw657C
Fo4cj2U7O/ap3d51JhAgbBFkhdgW2Rb+ONXpPsH6eVRuZNcbrUp/SqcTrY9OEpa719r37BvOeE9I
22uqY2GQKTrF2XO8yGLb03wFsJ/2JZzafVJpPeZ+RODKkLcdN8AtCxI3QA6K4DxnzA2rwNu2bEVi
f3b6bOX30Fhg4NjGQ04yMOuLXYaEdF82enmvLML0WILAhdGpGs0CynLIn5mt/FLhkECaRC/izKvc
f0rlLRO/bldW+WHgYCOjVAVRl6m7UrbiRZQFymZLpBDS2+61DEdcpAmmhRHTK0ILEC8gE24RHsCh
M+xBouyfvCMufIs9Um1EmDCxxWy9sMGkoWcQSVCsLoFoCTCN0T2clrFV1qYKvXCz8PD+dDtn30Bg
/6rnOLuLRhI9+7FcQ35G9+TEBhCWRkY/XQ7QjcMHNLQ5COPewqxKzG8Y2wG/MdPull+QkcmE0cCR
3NVPBVkRB5T7qNMVJu0ns4i1cx6WrJlBEB8ckBXPNYTj7+EgkE0ZYta+xsEpu+9mRhu02kAAgZeh
K5Z9m2YKdaNlTNs+QfkLyLTOf2p6315mHTeQP8YeB1g66cx6MbtlakeWDRLG1PXu8RC76Y4l9rAb
bDXS44h6pb0kOkpDW6dSAPjFmVm7NbpUpI88qFxF3PWWGqk71b8eOz0v7VsvLewN05Cg9Z2Qr4HK
A/dgH2zWhxZZUiZJ20bVWRmxbgMIMLPU5feeEK7P2kY1DYzdy+at27ne0Ru9yTsUjeqijVnGFNHK
zOWnG5nwc5nknDvVqSvOHHTYBDtRmA56Kj8IBUY5aJEEdM9YoDr0g2k+sFQaCyKTWQNABJBqC8Em
wstaI1/wUYqzgEnYULOM+bWYQc4qLshZ6wMhk1RP/a8lDjzg/gOECqudX0O//5mP/tv5KEEUSEP/
S4bn02f+Xkbv5T9mpH/+5B+yNf23X651z5L8PkOs4q0/ZGvOb4ZpM69nfoQhXhrsCf4lW/N+47EG
W5NHpOEyPsIn3/0O8sQMz0qY5A6yF1xTIBT+b81JvXUZ8dcxPlNKk37EdXTCzIhU/sekNMncpDNT
sOSd6B8knqhDwSFN9W0PO08r1Gfq0uFq0vN45hWETU55txtjaR7YpJk7r0rJrxqZ25N7ii7mvsNg
tdMJTzn2NJXosMAlOWEkb0zkskcwEdWuB+HxszXCasdxkzr8yrr/0XFjdsSmW7rw2ymRb2hy4pe+
LrubpmoRwgxGj+WwHYR7dqbFPSZKMZtCDUQljXMTv1CkqAcHS+M5WqoP2peWFZBL2I4a39CfjhtE
7yQ68nEkCztAxzq0hOpASWEFibHDao+IhtLnsnAssO8NgXiAmSaPiEds6+WmBE90m02WVfHg12tm
Q5pn3wyhm5SQ+hz7uWzF+M3DRoWumZyPIxGm4ZPokwk+psgyCie8K9c5axVQRm1iWNTHZnLbsyF7
aUs7yQKS/qgrUIf5o5qvOoTJA0Nh9VGJooBkAvTe7/Kuu+2zSYu3qsSqR8dov4RCmZfeNLWnOHPE
m1aVtAE81Mfj3IyKcVRUBq0ZcRTMOR94BFeeF54TE5/x2ocYyVblIm0nKucisE0jXpry8occCCzo
YkHvzTbZ4EW6Hl4hE8FNJlL9FugbU8nMmWdmrWmUo0iBSx/ZMtmzOajAOOnt0SJUdTt26oRJRgTG
gBWUMih+GMCO+yqNRn1VQiNF0Bhn4R1d1HsUN+lJzY664YIa0nAd7Gh7SXJEEOWOs41bbztOHWMW
hj/Qi1p5cLQieeGh2W/BPzVnXWM/r2lOAc9pam4d4EX7qqhmdJHKvI09oklzrAkHRkzizDcaHg1t
Tdokie97syzLKbai8A4td3ozp1yoZBQ7P/qsnHY05t0xqwzEx6X71DRqo7y2gqU3xHcMwTgMvbZ+
BgIY7qLBtd4TauNzgmUBNhReQskW2HQoD4SovxW0Vb7usDzma3rpvBFfVTn0OAIwaSSPxaQO7ZTe
1QaYlNg+yXoXOQtzgzJXDN1hWeLUGg522df1ht135vg1ic9P3AfODTYi+eBltiwPgnDyU86c9K1z
hPsEBq3KtpWpm0z3SP5L/Hoi7QKB5zrgbERzIADWvmJaZfaK9IHRu+slx8IzMbIVlbReSrqaq124
5kFvV4rjXFTUWI5KvsSY17uWXofA2SnsfgCApA0mc8WjyCRMIcXby9cvMd77XCfzXWxh+Ud4Ibdg
dgQsxMWN7uqJdM0tInqkF67LsEHNiFRR+I7f6iQFh5tY6jSL0r7CZEWwgkFr4TdRxefjoD94RuMc
3KWhg6QuHZ9cD67EUDjqQPja/MPLk+Jp7o2qPRgytX5wfSdfsRxNck1tvYGmNBvxux7mFspCmkPY
g7Hj3KbYeIJZFJiKMeqbzS6rUhD9UcPcfmX97ushK29h3plPI2hjCmPbeKTPNC+t1oCM5EORd3GC
+n5ryIZevQVKuB/EEN0uKtXvQenJfaqS/tLHdfGRcgnzrYam8UIp0F/yrDNZKC/NwTVRKelo1K5l
WUBjy4l3oTendTvLEEYEQp7obOtjemFOjffStW2mza2m60/sJFQX4LTXAu5f5+pkfXHvtpF4oDwz
4Jvr0oxPqAWc5ygvBGhJcN4faqmWjSjoDB3s8s2mJfIcp/IpXYciyFYqAkC8aYQ1Si7Tnh6r6YIs
cWMCLPL4oLzyKtIWw4Ou2dq2NmmLCd3WD5OrF1T+vdrY3LhBJ4pkj1qfTBm1lI8d4w6/7xKUaIl3
CyQkumHw4H5kppfcqCjMdjrDeKTJ/XiOZGFglbLFj2xpsptxtKdNWpKYFRe2c0b9xHdoRPISek2G
YhZzMs+i8lzOmF8QIA8qcIriBwaGKsh1rT2YVilftbjZSXd4TWVe77n16Ujp/GISprdamo0/rSr5
TEmVCWSnzdgOdTzqFcpizBanRLOavT3Y1pEe4tbQLGcLelG7Z9ALdG2JymOkhScRtdA8KzmJoM+1
+Y1MG2ZAIYOjeyO0TJx0kVYHrWVs0V080eROu4KcnF0V12+5mI1jXvcM7Nvkxyr1y0+GZeDNqwFV
b7E6o3tEpjjtetYZD/popTcTKcYI0Or+SmzS2XHt78NUH1iS1H6Jd9JHVjUA4J50VCUGGTc9c48q
poZnNYAfhFagokN2hpRdF12njyZjZrBrrw1TLPhPAqGLPW7zE/OkId2ENvb67RKzDt7qbg+tCUVl
jYw5fy/mHB4eGu1vZl53HlzBOblJ556clVhvxKY0teah6fN2vzTKRThjEYvnjNNwLuIoK3YGerMt
KUom8ALN/CwwrSQBR7ydBVbdxxQzWpRvajUkUJHrjnMgMTrC6WaDafYGNbz8KAm8uHVkr26TLO7o
o/EGOmxHfULT5g3Ms5uqcm95W5gUI3tOn8xOEDodeniVN3qoppcwjH96XO7fFpuVqupv7NgddlnX
pCx0wuaBGL3Er3q7ICkGJT5vqmp8kUbGPRLQ5ZsWNWzRnHw6pdj1FbBc7FqsF+aN6bXqxnEz+0dn
ZOH3iD/sRwzqAtczMc4XmrNrzbp9rpyRQZMk5481Gf15MdzVaRi9ZDbQ8wL76ZcpnPwNjGK9M5wF
ZbabsxKjd4jagyo9m1hRlNs4jkGH0a5b5R1ngNqTNz1eXZsxvUFB9pIAwz0xOp1ODfLxLZh0cawL
m01l7ZADNZaVQXBn4h7jls/KRnb5YTS2OLhR321NGLK7jqBVwKG6vc9ie7/0GZmkRLdB6do6NrbQ
2my3RrfCNJj3uRNQOt8tBgbn7adpgUNCaQtvaZKBgQgEPAAc+V4RHSy1LZDBe81sWG1Uyjpm9Wwf
kiKs3m2eZ4w7KCnsroB95pZiV/dJxQlj9H7auu69ZAx5iUI8dQW69psSLafPphnLWV7iUQIhgvnB
uEbjcDaM+UvXMQ2hsw7FhMBS2rgRu8BabObKBqXWFQ6MtSsj1Zx7trl7bUHQ1ClOFdrb8YlA5f55
tuC8TQn5RUqfruSdILb0iLGlSUxRek+krKvIDLJQk+gNa29n8iiLN6Y5feOHxgsN4fIDehDr7lSk
OyuOyosgz+iVz5te3ZJDSf9aE0+Gx9UKCLvUDmVixScndJz7/yDu3LrbVq4t/YuQgVvh8koSvIqk
KFmy5BcM2bJxB6pwR/36/picPu04OTujX7pfMpKdbZMAgapaa835TQlonFxoWldw94qrLfzyAoc9
vpmWFTxUMDwfRlwRNhSFQjzyhjIdR57YPlCHVLc6scVPbSLddfu4vjqzbV3EYHtHugriJ/7f8OwN
eKFR+GfPUAPUSZgeXSAmmdm7YVX9mWWzPCh0nhsil38wwAj3fs08KXHz4dK7VvDuuj10hryuEeey
0XMucnJ5louCfdzSDT00VdJ1YHrlwuoB3zfRc00WVDPsw9b3Dobwlyc4Lp3eFC3xxIA5NzUJu0dn
LpbXiVzi61ylbw20u0czlgXTv0DtHV9m9COdHW2hAnVfrrZ+5lkRYnhEuanVXFo/Z6eTcRJJzk3A
Slich9DLaPsX4qtJKcNtDqqrGljwOD82bymy+m9hXRZHEDY8wG3nQubuCSEjQniQ4CGT9JbYCOSr
wRsiW+r5R7yUxdrL2PdijK0bTGojPnz28dn3k1PjqxevH5OvgRFzyqywpA8ciIjFJpW42GFDkQer
Kj9wDYyP7KgINxyOvGQCDoSDQQY0TXBFlFn9KpDTjyybhi8F0V/HvJ0WHutxPDiw247+DGvT7jCj
zhV05yklAtBkPCtVmUO7/pyYl30mgXQOOc2kgCOsiXCvbH8sIPNPJQNGqChZSSInade7uJrMiN5V
s4XOzu1zJ/fKfBN/Qlq0jwBM63XqNfK7yQMDoMwa4QsSKpvZOWZkq+M4oUJj38P5PlehiSM2yZbn
OM46zgt5+VFYoeZSsD5VtU5/UIzZh1G01gZmo0uzqlfk+erpqRg15FtVO9Y7s2di01EGblVmyj0t
8fAO4i+ZF+i5oujpA+uxJaxhHY8MyANSIkAVh8U2kKSTkc2KtYFKbszWsuP3EhCx38iBmHiyJm/X
IExH1z/ghoHHqthSGmEzySY4FIr9r5AD/9iHD3ON7gCXMw7fWm9CuL8cT80jQ0wzqvzqp5rmPXqA
LwEq3bVnjRm5grS0Uecu+y7wky3zUAVjsukP2Jv6d2U244ceIYaGdG1fDWGHDw0BSz8MzkwlQ94a
gW4rwh0/j4sSfPTPji7lgwdb4t0P4oGzkRAH8rzVbnAMg11wmQ38ZDYsnpC5QbuqLQP5eV2zxKus
Cnc2jIVVOjWgqpeZkO24zYMfJjguFxEsU9CljP1vjA49f2WYCAAkR6RIhkt46SeNrZmcoN2Sxtme
sNn5w6vTir2jqFEWEaHNWlbrG0mz47EQer4ZHT01fEXkZhNIYkcw7/RB06l4CoHcfyRLDBGlneQb
8cuYu3QHfW9xq8grJvTfvW2Cq+sRBww9bD47Vs2tFz3T5aEZCXzVyfjFqL2JgJzR7c6eIFhgGhan
WRENELxjS1M7v7N/ZahMjoB6wbtCtHQeg8Qy1xNgbtACWNlakuLSjTRwas++to9tbNtbY1mqt0EU
nFy1TzYFrzvt87K53CFll7JlkLnSnV42TUp27Mqlh/xY0Ky9crgGecE0etm3OaS9lWITfUoaBd4i
S0V5kF4V7MgoaZ9zyRkWmFVR7Ss7dDchVcwD4diIqcu6e/FMAxn5nSO9dEUCKxgbWdzGcGOBQOSH
qfbslegmfYQnKI8K3/Ab05HxS8gp9DbYE7uJzp3Xyp6zYzha+ffEH9iL4klfhBYSCqo0kwfYf9a5
7sDMpIQJwUQoxcGUI/Y0gFGgtJrcEx+jCy1kFRaO+VF5VoHv1ifvzy0QAkHcCWna+71rqojQxuFE
aqgVOQ3mpBWOPL1dsHuc2cflezrH8nWEEISow6UwCPputcDZupKZErx4fuEfg1bgBBhGpPiGXV1w
mHDEyvuuUBizsvHN8ntvI8w8vcbubO/aztL4B6bCe9cIKDg0mOaql0F5MgrBqTPLfeAFA3lZPrnW
sGS9hJ82+JATHZA0N3aaptXWXKjBuQ4cASi5R9tZe3HA6ooct4CJeO89AFCr9hZTDRyHZMc4pamO
TdFB76s1JCEDRA/0duJnN2HhEfyAObkieNqSxLVmiGG5ao63BhjgDIbFOXMFX9YGlCdml3Hh/9v+
773R/Ds69b8az3eq6P+vaCY/NAGMosr8n8WvuyGHcdr/Ln397z/1X+JX929QQ53/09Pl7/tHU9cL
/maFwnRwADPS+kcE0/8mnLp/8y2ayvhzMSLfG77/3dS178FNPjxky7VtCzfN/xXh9E8JKpJcvG0m
Olsw9b7l/xG0F9rZ6HUM8qJepGW60npZvqa2N/+HyLJ7StzvnWOMPR4Vpe2FvmdzXX98TOeZHn1j
eCke7++3EfLiFs9NQq+wL5D8EeH5j2nE/2h0tu6Ben9+IqGxLn5nE1HqvSv+u7Y2pD0XDEXsRb41
hyjDKvoLkP9Tprp4LykKvCp7DoiJ2vdx8MT0lxRpAgD1t3pxwKKrMD92cH6gkI12ZOshP4ZLOZ1x
FeoHa2Zx+e2pefzHF/tdiG/92Vu/3yF+chcgQ2j65t+1wr9pgXP0e8s01z4H+qbi4ESeDeoy/rNg
dos/Lw7w0vjMUyGofLaNqT/p6k2vnEAl3YMGFC1uxZe6mfsjOY3Nr7/+eva/Pid8PYcS0KKZwDPJ
8/j77fRDRTuHDTsaLOmeM20VM7yPxtn43ZSemF+x5NG0a04QzefINExYIzi6I75zsE9n1/9qowq5
LnPKuFIezNS4QUAXTINHji0rTCrFO2jFYDfGbvtYAiT9PqAaJo5Byae/vhb3T//9/VYHCMpJb3Do
BdzhAL9fSwC9wWSgJiI5lOnDIlpGjoiJks0saURNbTbQ4mecEhlNN32y19OxLNHZgvquegF5LzRu
wzz37547ctCyLBrShSHeZqvACi3OfpvdI15pJ/ilkVyR3oyHvsFV1yb5uxQKmWks3kDrOJfeGNY1
kvNgyca9XLzqULQlpruqVg/krmpYTCnJZis7s+JtSldwlfvw24ASExFLhC5MUDP9DDx0fWxgALTA
hehzT88R6hYTplNbmewpuW2E/abRc/721/fy7y/uH6+ZbzrCdVDzWI7HhOmf7qX0CTEW3SIiC7zP
tTGLmvnoZD5gAtj5jvXLyKf5itkPF16FVKDaUwFOvzxVtt9dqfqzIvGhwt2IkBN0YblhC8O3Vte+
tTZiRz42aYOZfeyS+YQSdfkMcf8+DzJuTmE5G2+WUyQPUntJsi6RW6xQrs8PQTHk237wzP/w4Pw9
HvZfLta/bwkgJQSvwh8XG3BGIRHbizgZjJeksokb5ta6B8my/mgsXrhVFqhQsh+AEaggOTlSIN5j
PCf3lua4ITjt/mynxPzx17/Dv1lfA5fnGnaG5zEC/MNGVCYIr0oxiWgKbLFmePArHZcDosd5w8jg
+Ncf9m/WAgxD9p3a7QQWS/o/34aG/WEKll5EVJ3+m0ntcH+L8+tff8q/WRD/6VP+eEsZuWRe57Qi
QgyZ/TShpsNUqvGdw8hdtn/9Wf9mRbgDOWAa2oxk3ft09fcVgUcyl5K+SESqt31yjEp/AnGCidU6
5pM9M6dE+k9LE0mvSawTKR2bv/4C/+aWhkQUhDRShXD5r//8BeB2CklmgojK3h9frUm5yDe1/x92
Yfv+1/z+AGMx4+AgRMASbpvMcf/5Y2yW3PtUz0OL3z7Jzk7WlbnsOOLeZiI3w+wKX2vtzNPnPC2M
kUrjqi3k7ewnWNQdEtPA65OnlbrNzevktLsL//GrP3W25Hi+pGYkM7qiJv5/yUn5ToDU7YYm/88c
y/Vf37I/nw9cO3QZ2StdK7zPypm///6baaBGavCQcSm2nXU8ZLgBFo7C2muM//Dr/MttA/hy3/iY
feMRwqb0zx+V6tgmtMsII7/0GNYshYEeUzNLaOE3OV087LnV4X/4UI6Cf77VcBw5CXBcYmWFP/Pn
zzXhXbEra4ojfHBfmPmCMUS2DXhjnt4c1aBit+buyUiyQ5tM735YQwKYFvuDtjFsJjMFpkUb2w98
1GveYydhL7C4qV3Wyh2YcDpLcfYe2917M1pgqxg1BwFDoA55JPhlBCj+NB9AIRCzwTz2MfQmCQeO
ej9bEH3dkQ0IyxdzC2dQnIMGcSwW1wdpG+XWnycUnDHWb0dWt0Gl4arGS8AL9ERptmbRPxRu8Hyv
3a7a+3Cl/qxx0FxrYiQ2tRDJW9cYw9Ug22c7kcaxQXOJOFUxyGw7P99BrCM8pKLP9A5JHRgGmrh0
Hc7d+GmTtYR1BPMqrFDHfZ8zO9iGZvVFypFmzQ5ixCrDRcvUXwDXiwFmZkZSffMFAEJiO0S7Faoo
4FmHYHZLlPU2ZNoLgvfi0Zo9or/sXPUgYV323Hawf3ZOEZyryu+2mZVYxLMUdKaJAIwjPWHQ2cTs
Ut+KjjhEcIX0bXM0O6X3LGSGlEzdx6k1UgTMqoqmWOuk7g1rhFoDno1mx4zCZt5T8OudXTqQdL4M
I5wsxEz9Yoe/lgmRLd05NQ4/MX6J18xuii2KzioKg/FrlapjV4Ei64YefrytrFeV585tLFrgoYts
aKQsJdnLoQ5XoaNuVYgulGH0eSzQPPSybVcEadLjKYLZW+PVGa8tYsadRQzQYz8G1SfjoO46oOil
l5MmvwJaVjtYD93eVIG8dWVgvdVKll+nzNkhoW/6bZbPwWPTVBJXPwA3dBlmKtaVTT8Ui+vyUia6
v6G3HF4k9fFaGS2g3TSWO9kYxcWQKtkTH2A8FRy0LkMO+yw3bXNjoSbjkz15ibUxRMXErGxwA+vD
iJEWQNwQF7uVQLX59fY6r/obKr/v7egv3/P7FU6mMHZtPD7C7d/p5gudbgic1XKFVXGOGXDv6KNP
xJkWzY84toirYy4KUW7IOIAHuHVUYR0Nv9SbHiLFRpOUtGrQnNx8NaWXQjV6Y0pSTJqlrX+hxJu3
BplVRwim1bUWwU9Ide+1acZI7q1G0sTGSvTV7/xm7yYTYt4FxELqwJYdulQf0GzWq6FNvray+yrD
aUCSLKz2e9lY/WsSFN4eSkO1C52FJFpY1WsqHwzmVSs2bYgIIm9luW0JTIiEw5eyTK9+BX9rnDO+
1UZaMf9yUT+xws57uknTweodL+LfSna2Pz3E3fjTEcmphPy76vKQnDU63YxSs5R/wUjS55F0smhk
joiEMgiucScLUg8NWJjD8r0LRPNUtpN3JR+TmDE6smBOs/FAfNqjlqZzG9KK38QeGrQz3UTGEdoW
XirmdWk4gWYB+z7bjXzwc6RthUP3I1lQGgu8fS89qhP+mdQn01RcYKO6NdBIUq3cjiGjp8AsWymp
y7Q6SVwT0wXVa3kTSzOde2FUkSHbHhp8vkOu/g6aqdsCwK83sMIV62q7oY+KPhDO7KUBgLNajJks
jykfVlOg8o0KSawAka4eIR2GCQxiUiC2TuW+OrFijuZgBoxSDGNkV15xJQxPSbycQLmiUO8Ousi/
xIQBcMWyuEElglG9ZPanqefySY45J/0AL/Uu72w/WLW6zjdz611b23M3tQRxrWbn2YqZO9WuvRqG
GK+mP+zIKRiisLW/16M6pZbYlG6B1xzbXVaP7m6SHo0tw3xuChr/6TyeawIDH6YB4cJK0NN/Axho
baSaaoaMlGfIK+PK3y4MYqmudXvqAW0zanAieArJZdAAHnp7stbp5GgI3Q2IQEORMzdkYY3gGpYl
XEWw2c0UHzl2NLsGusCpcYzx0bBA9JITVz+kTSOPwuuaJ9dTN7guQBNLEskyt20+dGsWOyv2s9e4
DlyY0G5Gp7F13vjWaASGQlxqzOy7kHiAXerJ9CPEN3ZEBTusfI+ds7UX8PKVDPdjNuCa6XPKwXIB
Y4Wv5yAJA2XpF6Cc2sI8kzc8QJNn8c6z9tZav4qUPsLKM5buS9D79bpDofpoQ/N88nADnSTjUeCi
fn4yXWeJ3LKPv9ZEULwxMb3zvErrichdtauFy16Y2vnObfvsG6pULFouAqNRBf6bTExUsGnYMPhN
2G7T5RH/GW2/wkke6ez0kcnVPkzgeU792ImH2BlElMaj+cU20+yGQMs5tGT/PpC4BGYnzJPzWAX8
NyREF+Xnn7JS+ZdUVLQMUdxic1SRGrrvQSXSbU0qHebD9r66hGlqFStkBDRSfW85dC6OJqM9yuEq
zCyqOq++TiX2FEIPgp4oCi+OjCFgeKC85qnXmYAKq6o338YyZxju6xK7gk62yfanGOYj2aVb3eOP
2pmkSiOk86o7YdVjDXPbLbYj0K8mxFHfaNWzgVUDizB0rhH6kUgPiskcPVXXRVqomo12Kx78uG+x
38y15x4Qj+lDHZhfA7f3HwP+PLIow7jVIZ1RnalPryPgBDurwwm4bOvnuh0u+Ev2fuf+qoO7w0sn
j6IIvc28jMUGWVrOUIX7nPiZWAMWRcTuu2dybaEcgDYNCB9oGWkR82wtKdgMCxidFQ7XvgcGTInp
IfcvM2sboiChl92N7cUleO3Vb33rqap688x0Sx6R4s3neZ67z05kmANGhc1iqvkyhuniv5rN8EeQ
pfWxyDAu2il/zooDY9N6NVLpjEPfNha5M65YF5YPO+z8B6LMF7zKhM9GbejXT7L26wM6uvEnmdPe
sMIRIU9JGoy7rpFw0X0rs16MmDNJDm2MgBHBfj3S/oHlC0Jk52KIZascVIz/wyK+2SqJRu2mKtkt
ymEa2sXKY6SWoqjEJlS+NoTkvpHoUyabtsMWBrsnjeMox4nprVSTh5ciLUYil41p41AMQWOLDfGe
KLYgX8blO75cfxcKA49NQT47xqYqxDSrJF/e9JDmh0wholEaqlsRh6ivM2QXjkyYCq9ySRGPjvkT
fJfvLmnrINXgi5DhfWyTONkPg34btM0LrQmoQC3f7gcIInfJCKKI+3Zj2r7P6bbV6t4imjc1KS4b
vLvDg42/apvGQ7r1HVAlqC8AerVVPMOnnrYxOR55VYZbdlekS87dstotdX4yID6/1rMmOfNTu/5T
MNlfQBp/WCo9BEtCfkr3ltpYoKrEqG5qNIN9Z9Y+BoLKB9gRFP2mbLJq05gWCZCN1uGlMmWLYCLU
+6o0gPP6pc05KRD1ORRt/2x0BX5hPLEMYKVN5nKdQX7uUADjviLDac1XGABEieRG4MtzPFcOFoS6
fp+1iVihnUxnT2tp+onGoX9Gb6R2TPaMiDQPf18bS3K3UBXLJ3K+keYrHNXEvTOzCZvf8SaTSInk
9xYk+bQfTSt5r5veWrXWEERekyCvT8KjUxfy5hU0XEDiE4I3dpk8gAycXs2WiA5qldFRq+zuE/Ea
Tc1qZv1C8KaX/eLP3BFOuGA3ajE8NlavTV2MEB3+ninII87/HYFPxEBELq3WqLXD6gHzlyFWmdf4
2zJPYTaHJkq0zG0cdGW2geUzDJ6N2adg8Gka4jlZmncKdvNEi6KBQW2HvNxDuDNI6iOlBjxaPjEP
rurPnqbjdnZ684N32IZmN8V7LJ360RjNIYLqRgjJPLTNAbGUcTZTJ4baAH3+XCK/uOKTryOR4hgG
itns7jLiTea41qlKgpdyNI82FrXvekgy8jxV+gxVqnnWwjHQ5AG0ZQKLWKQKvRuQFvMb88DwaShs
+2z7Zrzir0x+3JfCbxiMUpKuK4WByyqsU5szjpa5Eb74uu+/+EVYhJuhz36wsJSXdJzml8kkPmGT
gRDeWqD/v4GhU1xDWuxTOE4PyC6Si6UThWJxbo5NjhJAJkMPvgK+d2PYyddMDvEVQ0vNC0TvZUJl
fQLx0H0lfsTRaLjDkngODSxNMRD8O299r0Yf+wpdhuxKZ3B8LVw6g7MB8q4Jxy4km3LqbsCDfdop
ul32Nee1ExoQ7+dkKXCKOq+zm8OjelNBvtQpQSi2fRA+9XFaUk3uoRjXIPeyidzVPKj3jFvzrx3a
oHeVuyaDRpPBwapRGv8Qh/P8BWN0uLGDBQ51ZbTdyq8qCpsgqcwHlYL+NzwTZjma8j1SIUBgzOgo
A9P2kW0yR6BFpjFviYLntwTLq4EH88XIjBJ/biA2SmpMPKruL4U/3/w48Hn4x2LYSy7BWOFnqX/x
P10P5wze/6hYAhKWMHwz65iTQJC6kCCeauEOujF8r7UKkw6LmkXD1GSKv+L/Vj9KGc/RCKjnamF2
pbznwMPg2SDRPI3z91oYNapNS/TjuqndieSaNO13pXI47Bp6IQ6zcTFKtsnyxIXSQpftjGibTPYd
m/qym32v2heOYTIdjuPu12gTS46lchxq1IiV564pDAgPDgkrJWoztmDcl3cB/IaTtGFcsTf0wcla
vHKKZiHehgoaqdSB81RqJ9xnRqbIcx8bUr854ecNb7uQhHU31URE+KRYCrQeiGIosjDdVjVkib5h
Ai3wA8po6drFfqC9x+iUjD8GVUGTa1QEJIrNgF7PhRN2LxkYhfVkkIM0KZ86zQjmX1qGYMKovaej
Nprqu7AkUhxM9mKNKoDl35xG5wGhhv5qw3X9RSyVdza1MD65dPU+xFOHDwl9x5GtkGWA3wb+3DJU
QXshqmC5dA2Sdoy6utyOYjQf6IYlrOcj1ITN6JTZ3UAvrxlQ3UtjihxAQUe56E8q+J7nbUF3nYX7
q7LwukaBM53IDAiIFYefBe5z8ki6U4Q3ldKN3xgp8V6N5T3jImue6zEOHtAmJ8WWiLLvJSlxztSl
iLpchif0M3cQqY4FngluNi2wVa2N5Im8nPLLTBr51jFlcpJpYF0LENw0PtqhBQEz1t12YYJ9WCpl
R5KYpj6qkFh/dXIPJDjb12uCdRnBUIDWjSuxumOr8+KDlDYwn1PT73lVk5MKButRdrkBOqTowUfO
tsE4vp/RnK3necH8LLAhr9151OfcsigMqIa/20IFB7qrycke55+dNf5sO+PFpARYERNlHRxU9pug
cUAYTCyhxCUOr61MkmMQEjeeu0n2cwRbkcHZz5YLnS12hoqD9Z2x6aMdwZUSyRYxsp6l8bMLQdeS
BUQaki2m7sf9I0hoQQIaPs2pi6/Os4mAXukxo7SHoUS2ruks5Ldao7N27+o+UBmU4PpVtC2k/EJP
3zMCR4r1GMz9dY79R7LOxblnDRZcVrzJ+hnhG8KJ4TRiUD9gBOxRIS3vJn8LMRCGcDcUJsXO6xf8
JiwR86Zd9LdgoA9Hok3lvvt4Qq+m8p23jks/BmzDqA/r/sCMq4noLjmv92wUFBpKE/C8iIth4Wfg
LAPyD5f+Rln6nBLwdQo9MqXjXsnPpZxpt1UDQi9JrWvMEHodNfXxOq4RSzXBwHtgWLhIONImaJND
e8Llz5bcF/aMZEcbu8bsIB20Hoa3ZLDlpbONeovnxD80PnbXFSud9SyDFgcdKWQhiVkBXFUjB+hs
dU9V3KaPlk1fMCTJlhpwcM5xjPMy5zlcvKVJ1kGAhoZfHKW5tl2GrmRBr4Y0PDVj+DYZjv+K05Qo
+KUlgzbQpNqXFdGG7L3HIfecczAOHtyWTL2NlpefoBdXaw4HMrLnkaTGUSFJDcPpPE9BAQvWNJYo
hH9NDUR9dfMXqmJ3nMZTC+j1R9JqNuAScakjGKNBT65fKk8UX5Jk0FhWEv+VeX1DSZTFqB7dQTlR
AO2GiF4i2zbETQWvgZHhIpGl/dwvdUg9m6Gade/6P911W0ns6bqd2nzdqWKs127NoxK65ETuJs6S
eD5gsICgMokiKjAubELMLhy3FoJ0shAtv4cTJ8TZNXG0xzkLygdMlEY8pGS17TJ/eOotSDAlx3vM
2rRH7m4UO0vg3k7GLSuX/KKaJj4GKFd2aQOwZJqE9zC7tYKKbdXbQOl8I8aOGqiDRtXGuXzM5uax
qxznxZrjVd3a37LG+whL7MuoseYMBxowfy/VFVHKrbful/LsDbHYg882n2QjnDXqvuBYLROimK74
UqehvbJwY/5Slm09+63rfhkA6x4yjiCRocbnGLUPi7Q3PU2IFPdDKYrLzE6Kn7mOuiQfnhAdJfAf
qmrX9a23tSu6zDR0nTM8lmEnyNjYDh02J4Yh70NA0IWZlKSfx6Q/l62/G1weI8Lrf/VUK58LxA0c
NMSgE+uzngVyI/T4GOhldTDtpoxUWxc7P8Wri3KuJ1OS7kCkCdn60g/DVjOPdVTNb8ysKzKX7ofb
VcS5gH+4BkPfYvOG8gmmhpW0pv+0c2Nz2DYIP/H69nYQ2eKqIJ2jgyugnLSiG7bEHJKk0DNaBkKj
yK3Hs66lEYV5fYEVPLxXISrnwEh22NWsAyzbu+OU4JzBbNdN5z3Yut8bkvoOyKF7alV6pfeLW8qq
dk2a3xoDSwbpUBNLE+WwPVUz7fxxOdEAeylCl7aC6a8ZPKztDBsSQmt5QIN7SshaopaYy08HyAjk
lPYbYRoPlkVVsUqypkngZcCjYLZvsx0YgpAQSiAtsoNvL51cNaHC1NDXTLI4evgnYcwFHH4KZOJQ
fLRwpM3gPiGm9V5OQKybv2Ft805gZ9yN05Bi4wzzNmHN3Zg+4dRk3Ijv0HXdZ08l9RAlqY10G2GZ
tyWBr9+XyyJdei1NehQG0MKdg9b9vR0tI/mI+Qe8nq3E3OuEeKldeAjthEoXdeEYFby3ck0tHWms
TvB+Q0krg9TzGwrW+FlJvMjZEDbhjmSEw53HmQTKPiphZwwwx2la9ojnsg9s5OyKPrFVKKWtJv9i
ZDpn5AjHOfxIiDYXK0s4GJIJEo1PXkZ9sk4Kz5rewzAvbmHiCwdCfgBgcxmYjzCgzR9KAQvkHiK1
npRNT9RDcj0k7IcehOP7egqJFPJH9pRPY/E89DALgPxO9c7JNT1NtHEwP7zM89+xVwwfS2OLzwKU
O36OcADKE3Ju7qjrcF7P5VZryM2BWqx+nwu2exKN6EZkyUi1GEvUJYHRvtEobqPcnlpGmL1/9D1B
D9/wV0jHBatVefFMfB7oEK5Obh+6Sn6kJjg25lxXwf6eNEjXjeTU5b3x7FpAl3Bk18lNcCA588Sl
7zGQcipi8rC6xHzwF+sTJeFAbBToJkL0MqZLi4IRjpa2Cr+Nyfgk1Pzmxt1MrFLMMSPXjjrMxBsk
GCB2bt02lxCaydpredAREi44JO27yMYanti7a3bIgi5ZXpL4RxlApdobLgb4Uo/VTw24dN26TofQ
OCW9LHVWvR9TM7kjLhl0LPGacNfpOWzq/iUZwO/NmUOTuhTqkiNgMMvi3DlGHFmzb22sIKVJ0TVx
/Ea9UJkRqjS18QtHH8bG6b9lVg6vq/WW+aR7mM2kbhY5B9+MsbDq2XSrIWHJS9cB/YIlT8L9YhL4
ZlLq2Kw/FXztshbPClY7By36p5lpMBwR+Tu5O9ZuGVlx6a3O56wROD7iWb8tPlVbtWaURWcDhFd2
xcfyNk2Wc4M5FuNL7p3lG6EVxX7gdHx2w957W5S2aH4x1uNIpKHF5ktonufSwCiDVh59fe0b+a7q
kvjq0Br6QW1KFaLz+AKrqKZRwf3jThqpb0WxsMoXSrgMWlC7Q/G7nioLV2gIaiLtxuKlgvzdDnLa
imp67fGycAeTFwbIO2kF/r5klhQNuu3W5rJAFBKtoMedG5CIGSmyrmQvPUmDKEYklcnIg7YqMUD+
qnV2kYokL3hKO99uN/WEAQ3FMls2jfy1DjI68KmMADmMmw6lDUQ3WybbcKmgYjeoYUB2iew7nloC
gcgAnfYV9eebWYf0Vj1XHURuq0+8wKR8zjYPyER6araqVDg+l8TmgHuw+mJfxIhiCf/wH/w0qF7s
2eva3UCzLlybbqL5XhCqgMQktxRCdu9j7epGmR2ZnDBysKtyP7chMWWtOWBwcqtJP+k5w3fqWxM8
QvJ/90FhloATm4FxAkSNN+T52Q9CAKx1jbjm2QM9TJ94ltlJaJclTPjjY18wNhvtmEKuIcUUQr+k
ZFKNe2htUunWHnLwy8Q55jguMWyVoZOkyabpTHaVLhtedvC+cNV6bvnasIfXosMtGQQ6iDJvbHdT
YOUc6+yD5+NyWU04kwQqYGTmXm+fqeCaVUr4M9QIJNG3Wn52eWb8hHRmrFt/MB6K+4l30nb2hF6P
UE/su+umKhEHa+3h286dx5B20Kub2j7OLaDgwaghkArYOCjUSZUrmnlNci/rVm0XD+icXI5lI2dn
PEknVtx5jSk12A6s0jvPKZj7N+19MqZi62tJu+GIqweScUFGWp053tOg8UYWViN+WKHvxyu6emwe
RT7jVkEnjFqfGN4yHaYNPSRnY5LIvZLQld9aBOXPFs/nLZUWj1KCjXtydfMkkGqBIbG9NTtPt8lZ
ZGlQje7BVCaG9rpYsg0+teo5q2SxGzqv/6pi1rrGdBjoTzXKttVi5lzxHYszrsvaYrKU+D0u1Cb9
4aKjfcfSmF0x5qkN40TyxBAqruBxiHVA8tYapLvHnSox3dfOckqNgC0naUZ+HbwHwYcxGe9kbPxM
Rt85Ew70yANFt55u0roq+/wxxXo0bKDK3SsHN63mS6gZXe8kVe+wa1g8ySRuu3HPY604Pjq0TKcq
wO2J5fTF/1/Undlu5EiapV+lMdfDhNFIGkmgZy7c6fRFckmhLaS4IRSSgvtOGpenn8+zaoDMyOwK
FNA3fVGFSmRFSE4njWb/Oec7LZzVy4tIi6D2C8isBlcWy8DqX1fajA6OW3bvEt6hxcw9cq3htoV4
dKzE7G7z3AChNJBx57YEXvAlZlj0wN2Vfs2rxnyZJMAQUDjxLgaaFkZ1tN4q4DLb1r3w/YitIjsX
pnjBdTk85atkMOWVZOOy1byE7SRxQU/Fn368egH+8Hznq3V5aP22ua5A/4W8LYqdcrv+VM3ExDar
0BL5xfz9lAwZG3bWlQHXMpBxUZycJaZKFGguqe8UxWQF+xn2INVuGLQMRwI7xltO5+Cz1bPRpvah
PPRGQleDcpP9nGZpaA5qV8h5/DBoMAXQICMTyP6kim1iptfROs133JEFW2q7e62Vzt4tv2CWDl3y
waUyYiL0NjLUWZCPcTBACQWJOmf8d86U5BEmITxvxA1v3go99A/mXPY3No0tpNW9Sp+GxSR47hjT
SDucnx7aNEFBJ9N/B1DK4ySpSuLRZlLsGjXgUTGJNbl+5j5GmpwfhWhsRMgFnLpCArSl4zFs4h4R
01uLp6QrsZCQ9EUFrc9GbTy5lfFpYe18LBvCqmBUo9Co5/Syq631llLRZ2F0+nahWf6R/Jm+N6hN
CrLsy8SoNZSE3l6oIezvHNOaX4woGXYZRpQrq049qvOi8YVl5UXlhXVejMv+YCrzGyu35VVV9GJf
xEl5Fw/AcyNH5x9aR9SCTFJsu1KnHFUEqwMGqwNnw5QcSCMHEISu7UDH69s9VULraxm3FNbBjZHv
pWWwH+sbYRAnX5erLHXioAIZeWjJBwe9ctdt3Ixy29oXa0Q1eixNcXMsG8Xc59LFabnjiTBETZzL
NF+ActSstfxWQArS0vzCsDW9onHUCpnZZvythJlrmIxHymisu8YlMl76hCKMBGLHSBPAJqt+TMxr
1Mw7o4jGec82GhbHYtkt8NJEbKM+qw6tYmqsvPjVS5IPXEqfHtPWbYyKnUZmOLuXYuleZfumrT9z
RUkriaR9BepgU5LbbPKFhvhSX8ddfD259fM8suzA7QnmAmHIMBeKQeNkxyO7HU070KlrQihtHij2
POAYIhCvE1pBqmLrTJSEOKhCw2aaEbK8kXFP2QMTk8ZhJeRRWPZhzJZru2X6vUB/uWfUZZPmmgly
DjF+5GZNOUyOY/bNJXYfGm6cnT03zR9I4apHp+LEWK8po/CyNvf/e61JVXVI97SgDPEboDb7zBFY
hBAU6ILs0/7pd3PefzcM6H9SLR23Ir6//zoJ8vWzH/5j8wnlp/hjGsT6x5/7RxbEF7+RY8UKJVwX
GtUfeuk85zfkIQvco2/+3kyHQ/T/Z0Eu7B/h0hWHXCfxrfOv/gn4kYDQ0Rsg8ggXO6Rry38H8PMX
uyFQHx+Ho+WwcrkKqvqfHJWuTcq8wDpPMfeYhy1wso2OVRrgPPQ4IC/HP1yev4s8XByaf3SjKpr5
2LHZrssVAV/0UygkkzOvf+G7ezPvY3qX8+zT5on9os2q2SGyT0EZrWBsRv5fbNMW7bGyJc74vMJd
w0IoraecCbX+lfHy4oL9+feSgJRs4WByhjT/5+tAyJpSlIXA3CSLbwPn5sCcDG9DKP4gB/vk+yvr
fGF1YZQW8ECXswNp6N/0WF+ujWU6Ugi6q8BL/fQ75B4A0DkbvX2Tzu2eWnRGZGZaP/7rr+BvvnHb
JmBECMJ38T9f/v0fQicuFxmYaubtrdo5OPmEOcJND1NaINbDJfvFheU+/fm6Opbg09iYWW1upD//
tE52ppghte39ylXh7DF7zsZG/uKn/OwL5soRZcLO7RMqUp786a6SEfW8kxO5ewdnz6YlVYPNYrzX
Zfpveu5//0G2Ml3s2o6H7f7PHwdCKFf0cvtGKfk/2Ic/phQqQ25Vd1aW/8K6/TffFJQvC5oXNUTC
ET/9sHmE1Oj2trtHlxBbTJX2JtGSNuuVHRO0wcO/vjHk5bv46RnwL154C6O/Yp366btKTc9eOzeG
GWhQhdPp2uedF4n7gsIkkvVJTsVuq0LgjvKw1hnyryij76rAETVVc3uf5RiVOazrwMoVWzvhtMj0
llcEjrOud4NsaO/1kspvj5SKpVurLJGeumZN9KaeICXRYW0Go4MitBGZ+tKVZfflX39G82+ec9/x
FQhtwVr8l/txAhw+OYz89nGVyGPmGN5x0Y5AWnOeDPpf4WP0x6qLf7gWJ2tb5vIRVor3i0v9d/er
z8pt+6TvHAJJf76NUGXtCiyKvy+K0T7iYbuphPI3EA7Vv+mYh7smePFgLbI8h2v9009KmkvBXeYT
zInScjtfyPZdXX7rYbfvfnFpKc/4yw106TY1f481WuQff1pa2tK0DFcCnbR9AnS5NtJLNHm+g8ox
3yuDG0G2w2MMpwfbz7DkweCJdhtRGwm0qoZm5aOh7heX8P2mHx31AJ7FeXN06x0mQEAF0tG4PPj9
YF8Pg66v8gTNouoSyDFYkLI5LDwfW9ZocvAp3fFI2tw7NECaQ7+rlj3GoDboOnQfy+nI4LajAH7s
UB8Q7aeB01KMZ+U80hCIN9ecmWIkvdrFepaBdjmDRqLM3pY2K4+29qedKDDaLBiSNkjK7jFvB/cF
7cC+pfwsPay93RNnErS/Y709eUAgzmZGmiIfrF2BGnZMnLTb9qWJKWIem0cbo/KLHKvmDTkHoHBC
mcEmWdpoSwyF43Cll7CCGHFIxZA9GKJpbz1RejC/3Qa9HIc2dpLJal+aWUdn5gDRc+LTjKwx0L+r
qZ9J7AjrNTeyr1UhEdtyShgRhjugpZ1145ZJ0Ir0YNlGeeDoigWs07G8B/3BER+PlnfxNPa3K+VY
0I6x6PVtl+/5OLC+NUooPY1MyC7nN0rnUugSrFLLtT+Cy2HGMF4O2TIaXfKYbYqFYNKfbJm4JpOF
5TMhmFAXo3nTDhENGo4lxyOTnP6r2Vf62WHs3Aal0/RqE3XCf2bbtnCQA5Lw5BWljQAlGLW0LZMX
5diQxFW5q1sRgciERBFt25VXPwBAE8UsK+x6xM3rpQcZMwirPL5v2WsunzZ6GiaZsFEUQvQdVRzC
q904zmvSSIydvrRfraQVeuNBIr7VAHoYzmoalZDqBeZXFg8sr529dGqTl5P/zJRoKJ4tizZJje2C
MmqS4Rs3crjjfapgHwqbjRDA/okxHlucU9l324ICnB9rbC34gYg4xIEY8AbtPdngTsjycbmWVHWc
VjWoGqAosZ1IoYMm0az2cmWDs2E9KL8ry2FoxsHBCPwLDaLzS0IhMR4SDaLmDN2GERjStr+va2Pt
tiIvy8Cropt8nEH6WjWjpLky+X2TqYN1QAmESrHsK3IdVOSu1wzZoY6b7Ql7Q3cVD1X5YFXTsM3T
JZwbN8GN6s876BtD2PO7HSajZjjZDv7Bc0TJ9ztTVqNm7o9iZZgIC3JUoVvH5rO2PPfKWtrP2nTa
XTqC4+1A93/zIx8HpY4ZoBsmMQVI6JKyXT3irFudac/wxw7aIufqc/g5eyPqJ/O+5JhUncdnBT1v
9Wn5Jkhl3mRURABL66IP5ttOBFB2AoWYUVhc8BU/MKwRByZ6xW5a6EU2Zt7CbEW7d+0QI8BTuRz8
ySghA2Bga7FnXNLNAPDopp01G8R5Ne0rNMQMqxf0hW7MAI40J8pSvau+9lr6GFe8dH0fe9ABo6d4
0fZV21Fsg4dOXnXd4L+lnrKeoNAOuyKOLSS8qBvZlXfRQQqnPiTlkOKLSXkUEOFOKXiUQDVsjoHQ
JWQn9YvnMdzxiGhueestm2kcx0MXrdWZyMulM8Ce1qDGEQ5yr8tQx40i29pjVsN2YeMNm+kGtgVG
1sxdH2Tr9udmzdPvc8qKKwyZgS8w033b5vNdr+sJNgsQQezL8WbMV/+JTpF1N3eLESD2r+fYz15G
5QNBIZ5yQarDxVZ3UVHeCwH5p0xKdZxGi1r5PAvilRqRAnExrC01fdLzOlBh3OQlVvjRMF9mv7XO
dtGfpyihJbPJ4u2MM20r7cXEg2bZMcf+hLhD4eaBU9RTWNs+6SfQCpvMxJm64qy4J6FQpWFnQzLE
NgbLvTJ+MN5GsXWdRzZJ654YE1P5mkdZmWJvmoq85VSbZ4T2L03aXVsZrjHXNBo6PGS3j6Lqzaxr
GlH45FYHOSaOa/whoEh7FzB/utq7WWKescbJummnMbqvRFTuQKAyVfHss13rKvA9A6HGUnM4TWP7
DaAzzYkLHQRqWe8UXpYwg8oxbdQ8qZfKTWg+JA4agp7ILYotY0RRuzIAY9VL1TyxL5u/SCbAB3q0
o32HxW0LFgStgynQxmwN/yHh874CGdPkHOYCM1tBX8rMct5mUDKKsXYDt60jsXOWLtf4NbkiKHOr
e1c4FcjKmMXrq2ZO+l0aEjtV6/rdeIyzZfZCxaxxO/Trj0WmFAOnAGImd3wrmcEf+euIX3mElTIb
BCaOOqa8S3HP2h8IFp8bHsJ2v2bUSkvLz1/JBLYniWOX5PNKFGuZcOoz6grTlHGzqaiKgOhyRSHv
jNXTftbwaYLYN+BokGOzeMnfKQMYTb9GGbYaSCRUMqqJOzfvCWO5dvsglXhw07491NggN8DKxAEq
SHZCNsCL247UVTBeYpUfKyqXHW4K3Uq5j+sCPCMQnF3UMdWB111cE5OQd9Cs06ASSfVae3a/a7FR
RVDDqU9ntZh7v/7BC4muS9Sdw6qEfgIaY6KMzc702RWrY29qyOFB1vU0hK4+k73CWULD8GpqmYks
0AXwo5ayPs1TZD5Ypt+GnVjuUnxDp2V1EL98CxC/aRr6Wed5/MNZc6IofDe3rbcI3LUtg0kkofvV
KZDTyuij89vxxqyMOCwIbpwUsVwKHLIxP8xazHvM14w50UF3Qym+tIjC295KJIMlPYdrRH4G429c
nRBpBdMyKULTGgecWtkaMgDNr+wFntJmKMd02s45MvFIKeO7nGVxdVE6hrAauCK+yop9VPnm0U5q
GHSJusrt8WXBVXqe6/lmLur+A5LdeI0ITreXWVzq3+XNaNHs7Ud9/2bhbd6XotXH0ln2eW08VwQ5
80s7Q7xrq6g61VGZ7ZIGjlc8qvIJCt9w47uUrwpegocZG1RFde2TjaFtUyFUkfPR3UdbTStvbjYF
hPSpgEG2moJGsjYzsI1vXLDiX2j7wU0uGnxqpTRyQpBUjTLI0Hdz0n1t8ErghR2vE6kLmIrTDpCi
DiDfNTt6UIOunr2U7q11D70JWUSig6+Ne5Yr+sjFDPGFjT3qZpxFAQB7Oioxt8hNOVfPeOPSsHHp
3srFe6XSwziZwxFoEiw5OpoPVu3GmBuAq3nWTNwvddZ9gVFv9N2wrx3iPQp40QaXqXcihpgFkmKa
A40EmvBT0MLgCjhCBZdk556tPP7CmGZqlWTRPtF+irQP5LIrnfehdaIXt1Q0PQB4BEmAhSFbD0PT
Pi1DDx5SL6fBGJ+9TOq7BC2DS/vqD9iorcQg3kBfmZWfqZR9AN6I8lWat0BLPuOcMD0xhTbFvEfX
+eOgxgTNsjk1jnudOubZAN2xJbzbXxedcd1xB12To8/30WR57/XsZmEsS4q34y0dI3pvkQ37ulof
jOKK0CMuuTWnrNwSLCg2o4MnxCv79HGscfdR5vDUrd4zXlP+077lTfRtrpFzzeKVhPlw1VOnux2L
LsMemDwl0j9gBnvEff5ayfbYDCQ+SUHdWCrnd5e63qhGUwCkF1jPGbWk0hgzNFvmF4BEkfOnNkQe
uc94qo7402lUEUdFJtvwMGwbl8Rvq9EfsyQ6KFPqWxjUDq1abv8JNdpnaOYcgQWWJx97K9XC07ov
p+h7Tm5mqzjuPw6tjbLJIZ9HFvjre4LmEZaUMsVR6YR03BWnJS+oBYqm5LKVUu2OYJMLztQbkZzJ
oXkmQ3e/qs7S7uYtWVf2Kk1Et0o52ZjiOSL0U5pzqjfYw/CBM0mPx3yhKHjwJIO15vvm3IpaZ7gP
qFW3tjWlWyW7b7pcEffZ51eK3WeZy3FD0m9jNiRtYPfeJ6t1JnDxFY/bDZEUe0OYguYnoxEAM4ru
mCRrw0u/ehKDPW879HyJ/fAlM1FZTBd2Vlp/dw37qyqolVk73tlL0/OldbDIpDUCONQluVhShovj
FAcIDubBhlRFtDJZNk3bZ2+pHnGwoRqypNTZya1orVjc1giwYbO3dbtvlTnqva0Un5QgKbYQfeuY
mJaT0sJTaRXjD5dK+Nu0ntndKasIFyrQQsOfB4iD4lxxZgkzzj8nBvlsjsDEObK767CbbXA6ty9J
YzgwUSPsZuv60I5xHUZNu3V0fAN5Y7jtW2KxM2vHzvYjda59ifEku3j9UrNrb1ZJz3mXznkoFIdj
r8KQm2frbgTpGMoU2hyeXH/rTmp+xHbJ0aWChT4RBQnj2q3fZz7UifASOuXMVyrNsTnIxBj3vG8F
7oVEHGPikqeyPVTLmu2QL+VZLG1BL8aYYbD27GeSr+rZm51PylBogZUV9XGFJb4WusCqZmbGQ9Po
7js80vhu6Dx1Bq0GKRqa+R6Uq97PJQjMifQRuMm+3NmMcWjyTQCRtyme9ondPFEIs3efKBncGmOM
yCTARwK0ZcYHybUv6eBMmhE3EOUu9Gq9Li1bxZiJ13sUJ5QFtiYE346t0MARee9nDolHut6DPBPj
QbWVE2T0iZ1IkC6vI6w2DkwonTy+ocDFc6QVytpNmTMFXRnPdymObXaLeXMiUqSDqldfEgZRW13y
ja+UVx+kdhCnmKXkyHqo0FRAne25644ZbdmVP82hz4POWarsrmpQDjviiewrHas8kwpmg1sBPnJy
E7P4GsFlWLEzjDNdYEjezhU/B0MKVNv96kh9iEjHnCLPj5i51G1gpezmOYA9TL20vuVVZm7VPHxQ
F0Yvbx5/q4hwnds5obk5XT84jnf3/tTCkYo7wDa4AvvQzDt9ZYj+SUrnKz8Wfbnzj4kaqRhM2A73
9rJsSV07eEnQofiiuuRGCoPZUNWBsS5HwSyoNEymjqkiVocxtCIVGmI3wPHDoc/+OsZQHLkFm686
4zUd5RfYZDXi+kngTW+XTFVfmFVUT40x+dvOT5o3uq+s+xRS/Z1scc0mC0fDjVrT7o66re+0DPn3
zOPUtoFSvyltCBMTBILt4LuEy5rRvSbP311XdZvvlD/nR3isjERbeFMtIYC9gTYJ89Gr0PrN9LQk
y8rBrKvdjWfWE/aE9dvU2+IQU+Dxgu11xnqedUw41Hd3rumfodl1i0AQ7/C5NreFhViaU15/TakH
JW++lR25/b4AHWuITVVxe5hjK7mOdUV3YV2nV1KTfN3QkkcIuphHwOv2aOkvC4zeD53hFzkZa77s
9QQeaWup1X0x0f0hIk/u7Ow6ojU/am4yFxvqkjXXSTwsj2uJnwGDg9FFO48aETuwkbRfJuWMdN9M
nPTWYX0UMrb3jS54Oy44JFFNHjI1smb6Xf5eRhDpMs/EYD/P8U5Uqt/mfeM8RXl1lQ+abj2zO9Gx
SQQp593Bs1qs56or/V3mQjXZ2O7aj5ukAqI0uEX9zA/qnsqiql/Aj1i3Zl3e4G7Lw6xq3GsnwVtG
0wQoXnpRq9eGNOMJxrLcrbZbL4Fdt9HBdCL9NLXL+pBHun1Mc8s+C/ihu8kgYSrIspHvzpiy90VT
HMzGh285uOlInCRCesZHwJpYCt6/9AiAp1h9rD6xOxm71K0xVRIqw0gzjFHYujGz9KXNo4B8t0kI
eRzxL6m2L0I4rc2byn3pXL6T/NFl/bkhAzJ+0vZggMniMAm5gi7ja97fSR6msruPKBgSZn6vPJ+k
v07IfDO/xDkvYtoQxjsbwlbAJEdfuiEVEQPjhoE7sFSgsL2OWHjREULDmWg6yxu4leBTLtB8bBr2
1jcoiMULS2Bdw0I/O7BusRP1zy6No0mQ5JbBAYHKPcVR6uBrT267Lhp2E3BZtLJhvOdIGfH8l5jr
EkPt5rbht6Jml/oudjfOOO8MMxcX+PQHFif45+Q0UK2n53FJDgQDpj2TWnPje5G462XV7ywfY0Y1
Gvm2oBUZ6zJaOvnM9mR56b0aMNvWWp8iW2C74m6Bd85UeMdUZzy7fSa/zzVG+aDMypKKLLG4+6ET
FIJGohmubLcb967rgL+MO+q2VKb9/bjI5ivjj+ZL5fXDfTx5w4vne9ktV55zMaO70NSde8tebtpi
9/VohajB6Gr5OSRws/3VnG8d7K34q/wi+s4Mlh0+MK3mqrJiCMs2a57Y6N513ZBKACMHmNY22Tav
/WH4gUmb1ldhRivlpxMUnn3pVKANeqvxn3iX4tPFtcM0y1lGjsE41rv1OPhgPdh0CyRVbwAYWrsl
VIM8e8oVSBIz8drrPsZgHImL4hJRvbfgKp4LspAFeXtW/qm/d4j07svGFBdwg8tfTawujXsmeo7r
zgzR2cuC5phbWdwCld6ViRQblB7I5V0VOI2tbyNwXkOf9VQuZDtOQLhPu+YH5senapj9JzC4VAr2
8QK9N676MnDN9YVY1te1v7QbkvkIE50GBFUxhzSwBeolTU9xzUwIQecYF6nxTNAphYjL7JKxe75N
kzU9EWMLyjKxw6Hm1NXGTnbwyJOE4FoNBi/UXh/ZweLYSDsCwKEYeCtu6t7D3+PAeKq23aXg1u4n
CjY8IxnXDaqKcVP3ZIdCYZTMcZhoJA+WazlXbPrqo8xUvRvSpHlQmnoLsKQK3yaGDlRqBh7EXlcK
ae56q7JNFjBLPYq4wSaaxxwiO04rdWBBvTsZYI7owqDvOsw9crxtzFhTTK564XOtIVB8/P7tSHmz
tWqaZTmxFHeRiGsGN2trfSyyZdNrNIYfNH5lUszjtc0TlTwslrm+jJBzK7J+2Cq/VEF6nkHCtSp4
vTEv+erMufsyLIl7jSJVnwssAvcIn+5RSYIWwonjJlDO72V+hg1fdyh6/1UvXs1Gxiiro+ANJ7i3
KYdm2s/QDmM4z1am66oNDNM2P8mWWE9QvwUVNFnzI3dpkNsMfg/9pBUUSnRtRn1A69v5R0sY4BjN
y3yADJNiGHSiOMgTo+e9U6tv1PG4t06TFd8Ll2hklMXx7TjX9gt8f3q/+jEu3zKiz6emtPnnaoIz
sSnofhbbuSSO5JMBwQUNBh0Tpm2+9ZQzHibaIbA1ETm7y0XENMJrezL2q81sNzFCCX74GWjC8KOu
ZP2MiBR9LeOyfjV49ndGz5XPuJz5UbGTPCxVun6Nljp5AYV+QQCD0n6VnaHemALb34p+6bcaakYY
WWRh7J4t/Gppd1dxi5waw7Z5pdQZeOdl/kHNCekb5jbbSoA36HuPbs4F+86z4ZTJ0ZrFcu6myX/N
TJlvhUsIUyxeCuOfRBI6xtCETd1FbytDFh6AumhfvWqITit7bTbVK8UJORtACjTKPglj7Tzy8qo+
dTXWdzAExB6xwbA2jtPFO7Z5Gd2fxjcC2KImWcGCzP+iJdyMi72O8+wGHwctJyz77c6qm/IOuWzg
lBcz73LSgk1JJcuLKWrCp5YvhcfFcRhC2rLPLsCD4mhPyyWflwwnQhLNB/0HCIM1+BnwAyZ4nY30
0uKRXJ0QwYCP/MyC4TUB5TDqTmKGqvcck6ml0rLlFF2XTlbCcipy9tnQVt9NGOZfGFhPd4Q92wdH
u/Wn047FuQJqf1rJj//wbcc7R2QtrmOwE9hMieL9cMYBW5jMJ3tjUHD+eglHvmRd17vUeLgdqa+0
HavtMtlU9C2VpQ7cqn6AIdt+7J2WvoAL2iMlF96Le6Mb7OeYlPBHFXfPJhHxbdWzI9EL+OSNW8SA
uywoVHfrOC1vZe8TY+yYnY6XdAwrDKP39dAPjPUcEs9lyDGAizw2mg2GoZpVnLKktcsgGUz4g5Q0
pzfLPFA27aC6skbEFIxa1MhfJRnvryBnXhFOa8utU1YES7cS0/4esDtCdOMZ4qxhMCBbVaO8ESNp
ddY4uicc5cZvY9dE4DC6/sWmKDQLQAEkRxLE9X3CF+WFttfbTz0C4bITZet+sDWyNQixcnnHrTkx
XCkaKKyNW+IFRjFelpC7Oev3kck7cwOyAfAU2UP1bax9kkENW/6rOLKmJzVc3my+mqA+GUztjcr0
TzE4p66jMALleJo3HK15Ttgj8QkQE0zcyVDIxWWOPaPjuK9xsRYfXTxFjCwHB0figlXENK+dgREm
7wK7U3sLg3wSuEywJQ22HYKHxb94NAetMUUvtlntmvjC8RpNtx52dpIyOuvN7D2ih/LoUswrt0U8
CJPSigsqpYja925xKSuabSrMNNLNcoUDuLhUeqiXtUV1QMTg8FZCEMnp4M2tj6wYxBUVnGDOpnW5
BCRKsjO5VtsiGxaskohA3JLVcYpHhDIAN/6d8hlnokGOvE36qH9fs8ZkiyeN7mvmJmUwaXYTVMT8
sLTpk3yy/RMMDv9uWi3gS3zs/rR0fXdeltEI0Go54y95aCusnwZq356zTZ0EnJqbHy00BpgYxFvv
Es+5LdB995L6+MekLC04Or0xH7LSTHSIbg9ZprffHHqW7w2V2e+GYrRjVuJ6kWb9MTpW9mS5SSEO
61T7DH/t9oXQSnVtxLV5U4ABu48N+SsjxsX+8GfLiy9sXFC8uAGl2fbFqPEHM1SSi4u3v/UuZ3rE
U07Md66qiakNTcp7m63qLSGt7Elozav0Xxsm7L+zS2BBQQWFkozx5id/zyoNwAeAivaLiodbXzXd
QXc9KoJAtrdAmUE4THi1whzTH9PKK6UbRypmdW6CvOjf86bHjeqVDDvJv+CdR2CqZmWFE9t49GZp
3lE3YjGWKRXFP7xR10On7Po02RnA2D4lSkuvy+QwG7RwahXbccpX1hV2wLzr6Z4g0i/35ZxDxMAd
FCjSnvDHcK6KySHufcFETYt516bqPatqe0sp9kCfNQt+VtOjsOEwhlVq9qxfXDr5VxshBYfCty3L
kkwH3Z+cJiW3EpfPZreOh5Jzg7iz7XmptxhoqVTCsjQteDNwj/NWWkYK1vpxCf1ixy7g4jGYJMS+
2He3ZaLJkI+l2mW+pY8QR5NtPRt07I2cd4ucDbCVZYcqy91fGHP+An/GmeM7CFr2hfWNP+finPvD
rQeBK2q03/l70TXkbStfr7AfVmDJqzHcm7NWgeblvAW4mpxMIcZPFK/x2ImLW4+Bm2MSB5f9JBh7
4Nv4xb351+cCcybEZCnpvnN+NgnS3WwoU9HiQH8Aa+hsxf61iKruFz/G/BnCerkIEFjF5RFgaTd/
+h4bBGO7jxp/j/wJ91pL1zgQ4BuDeS7Ud8kBnjUSdFZF23MQjVrdp2xCoe9MbX6FZ8e/Bd2VY5vh
YWmcqrwdrJEwfR6txs5OxWMz5P3zv740fyECs14L03EE1kmbPsMLK/6PX1xbtCsDCe493ZNV2kAN
cvB5MxzMopxgGceQZz8Hi5wCigFgCU4Q132ii+S02IsKMDMsHwSo5+vff6//bvv1OX3v4Ob+GP7z
8je/12yOqJIZ/u9//umf/ieZtHkRs6z/1ybtp2F46/7jrnv7+OyTP9m0//En/9nDav8GXp87EVcn
d6W83Kq4L4b/879c9zdo8vLyqEpENM/kC/+nTdsSv9mmo3h4WYckCVj+UP+PHlZp/YaAwY1tcYOb
toDm//s1jj/ru3+8gfqf/vmPqPifabQmQyBcP5hb4UxJ7LR/vudIKsNUGB29b7LBf5jGbrmtKMxA
0vbT7rvhrzwNglzPrxYp9fsb8I9vSNO38buaGM354FjVf/rJRLZyPTt4MZTNOCvtLKd5K+UlF5tq
00b4aMw82abdNL4UTdbgemADn5PNKqxxy2hZqL0oGg6mfWcVhGcj3CrEcIjgmks8kHtmiy96JJVt
Xkb9eJikWXUXD5/B7mAaqKxoam/5bk3txhqgaO45mrqvJdH5N2J//nMpsjLZoaXpL0tPXj3IcSld
pfTKpowQIuYq2pTjpTk9DVmIdeCV5ZWNaks1Y7hMqwL5VX3PsI4lAzHKtTbroEeNZsZoXvfdlH2h
L8/96sOX2VuRkYHTbJDnE1ZPIvixip4M2ClMYGOjPtIxwjAkWj7d2sn3YHDCSGfyOCA8wThI7oho
uqGe8bDwdkSLMKvnNL2kBBsGjOYkH7RHVDn15T2YFCo7KHXeFmXNEQ6L8C02SUaovGaJDiBYTyN/
sGudsGqYVMKUBEzYQHXoZvnWGLz5Yt++Eg4dRQnZytjq9lVUhFPXMCO/vMjR0PZKEUvtnbXg/8SM
Wkb9dMvy214LEoDHNWIYERWQAIZ6hDTGpnJroqZsx5ipxEC2cpdjJ0YIjIb94MTjUaJ3hHZqOUdb
uIpDk2x3JrsWskb9ZU+TyO1K7zWCfyXJlWYjalVcnuj2AfnnFFFAuCjdr1Nn7LQkLc4sOC7QQQ37
AzYKnDaboirXUMYNFSjV0WRff7+sRZ8TRirsAFEp5cx1OUhu6Py1YIOigsXE4lzbD8DBJXo3WXb/
trhkfbYNSWzjMkHiSAA19uwuqfm90rL8oFAqc7d0ITqohskErbPOrxkx1rAqOpHeZPL/sXcey5Ez
aZZ9l9mjDFosZhNaMMigSIrcwMgkE9Kh3AG44+nnRE13W/XYtNn0fmrxV/1mxRQRgIvv3nsuJmZl
+jOZTOvEuL47gZ5o3wQGND7rcoDRZC8KE9BA8GdZc5kD6oK0F4a0tITtVaBuuSubbDGjABSyjYtn
696XFRQI7Xj1XY0zdK+drhb7ysrjZxFYA0MVhi2bPmwWdxtYjsJkGYXxxR68nH6f3kyPrsW9wM9y
k52Y3jBs6e0++pAqJs0EB2oB/+i1Of4cK30yc2wfbfqHycr2mbgDbeYeOQKTLcztODv4Se2/tBjR
0Go5qXL3i8eSe5DxZw+vTVc/QLObXpOsJ8XPTjk/V6F2vXNm+cO8jQPGmiczK+en7Rk0hzAPXivs
k+NeCQe+Itn0ZOd7gJYx5fUkPYl7BNZTTOXiLkz65VzJGJGOnMTA3Is8KbcTNPCXERsRltLeOg+d
7ew6/uOtye5H5FshxfHng90K0oviHvMNlvNLivyOutN9Z1v+jvGuBzLKrQ9TnngPoV8CU/LHu0Jh
DImpHbxLCM2tFgcXg2t3eDM5jh3Krr9vwkVemVd9gyQNcVEPAsZNnR3sMuouTRTRaEYAcRcZQQ+v
iLgTpZbaa0sSWFu0u1WzBtgGGmdnhBXe2+Tji40w6Q2sW+m/QqRESwlFFucEp0nOAxy7MMAaUoGr
wQTOV0T766l2x/qMJvOgI9weMFUZkmyoo5DhT98ap6YRqDX+Om4wa0jaEpTIto2StAuFTvCryg23
1GYaH+lPIQyfF2m8UUExMQRZfjqvZ/2Qre/vcm74m8Q10WXy/HXgV1RpJtrKtgAeqdlThAsthtQo
zd7orW2Ark/4rSrvZcJKCk/KVOoIw2v6o2AC3DNYldUWYa4lOqrMQ4w9eW1Ui4BSejriyUoHrpdT
9hVjit1YoJEPXkws2Qkikg9UBqJZuy5m3zY/B3yPOF1mfgXNA5yR8qZARK4pfQXSgrOD8c9J1Xl0
6fCqnsYw+MvuhMW+Tbp9PfRZuQp5UuSxJDK97tK+yrbDsnBsLGTmNBvL9MN3gUULVaAaQDyEjeQO
lZaEkvMBrtAqRl6/6HwCe5VVb6oYqm2NpvZzC0zvUad1D0+CEq2gn2IqPsC9+SSOp5ibRyXQUrBP
TdoZDlSgNd8cav2r1H36ZWqcv8+yFyyzamly2juUZ2uG1pgzNx2nAyqmaH/dVt2Am7JYvHU52l9d
HkCBEhIbD0Orc1QkGz007xamcoFlQ7p6U0ksH9z8Qw/muxjJV/ldHNOm3BfqZa5cTCApbPN7yNOz
hoo0uKt6mvuriZvHFLA4MI9i2MhOWNda+em9tm6+O0x5RewjcYNGcBhibtw+M9ssOwrsFduZMcq5
7NmZAigeHiAj/gr5JZns7z7SfwzrO33qcOGxxptjsSQ5eKjePVhWCp84w7XsYqGjYUtvl3EI9jFg
hnXKZJXG2IwvmYKZcxlkr5mH/YgrHQ9AOrM8Z4i3s/Il+W5ryZ+E7swWjXxnwdQvROgwUx/duxwA
waa2lIOPNSq+NQlqbtuTutSS22phOWTMNVAYoEbuKpPpsO+Y3Wz4huYtZ0EP8m9jbya9/ErriQ9S
gHsSWCggjzbppY2ndo+I8msOcuuFMcZwUEkw3o4a0aoMB7WH7+bsWYHiMyxL/FgVhgF7JNwDwTk8
hCVe47xMrlQH8/oK13/QfO/2XEu1dodJY62pwmJbEWCFQYn10fMGjxeeuq8zxwX5UcS3LxVjdgCP
o5DXsOiQUx18V9u2SYG6RHb9FGFuPDNwq/5KHdCOyZZzxBg2v5Ww6jejq1uKSAMbZ4yvxwY/i53+
tfMFy0NAiJZAhtuRV7bTvTXFAXpM4eTXzCIwva4yCJVUCeo9rj8PBvPQ3zGQ0A/UUFbzCpRZUvB5
u+EpAz1WrqapFKfMHYvnjDKGsx1PzgtJi/SnlilG/K6JxZ4e6qJiYXLSY6ns4JTxUdsA18pkm3lW
ceJVAV5i46Omyx37N84/13klfJOsGP0QA6a6GA+TW2ffyG4EBmpqTlq+hEZcK5SRFzcKy0ORS4y4
ulz2jW2mdz9Q4jz2Bnz1wvHh3jSA7Fw5YotUuJYTEJ3e8lKVxvwweRe8pnRqPw2QCZ6SvO2IhhVh
jh4LcWzmaL/jjihfY9Pa92neNKecgefeuFOPZmdoFwaWE2bvhd/76Fl2fQ60pV+mWfiHqaGxw0o8
xWkyTK8eFvILpGbnDAQvegfcWKF79e2756dHiW1+FarsfohLIExxZi1YFIIp5DnzMbsUOV3drHjO
KnSXAnMc0E0dATeBzsmBZ04LvY56bhYwM7DDQFdmFrqCBSbu04QwP2OVfuVOza1m1ChUWGs5EkKp
UKca55cXTrQVtIPyXtJ0DmFU4RR3rmwR7G+E3SfDAuaEGyFBztY19bbJ0iS70GuYPTH2o+bTL2HX
Jp9l0TlbXG6ofDH5HXcqw13fd/k3h5Z6y8yb2HW21ChbozYNQuk8HLt+kh+8tLDSEhgaS6CbfTXw
mzDSdm+GgmobCDBEIXVJV+wO7v0s7Ul/tp6r+0eji75+tkIqrDaKsTxOM2aj9E87Gfo1znudolpM
2OWiUZEPDePJ2gddC1jYn7MX3TnF34WK3D2NQRkGr9mHjTXY8rFjyvnBMNt/GTUR05UZ3ATicJYs
eHeK5jkTVk4DS1ieLKJ5n73vqmyF6l7wdXSkp2wOqD+kMJZTNrc0Mwoiok9mcFgrlt5lgebgzaoW
qD7b97piycZIM76FfN2fVRr5vwKSk8NLLPxQ3ad4FDzMmLMLoFTGvD8ChOhNLWRaEWRm3CQC8xpc
KccUx87hIdyMNJKXnNvlgOvXkMKoK95e6Fa0ILTsh+fWoREAtbHv7rMB/xW9ip576a0ORiT/oBim
nbqM1MfoMReZ8z2T++61S9zx0+VKBDmg65+GwH8srGmT6Vpu8NLEZ2UykFY8h6ua8OcnI+z5dwbA
+wixs3gt8Te80wUTwBBOjP8RFkafJjWb3ZTE7YO7eOEj8T0EJyfT6cEvwaiZrjpyos7vNPzOQy/H
5TDyEX5OUTbdqdYKrzh7hx0c570DmOehQAQ4qdAlmkjj0VPjW/4lYc70zyprG3W2K8xKxz1e+qg2
6bkdiBL5QZRewGn/HrP825qEfhw7Bmgr3Q+C1dqVLuDlKfk7xh1uylEUO98Ns800u/nrECfj21zy
5uDLVW8l2Y8N+Rnv0gCoOxW1Lx6rW/mbD+TA7WBKUldXX2sxkQUjbfNDoBrmdja7hwY152XBQnxa
Mhua06Lm18rxSiimVX4vYYRf22XwtmboZbMVTqfudOrf1N2sO4YY4B4nBgAbj9YStNpy7q6kM+uv
3rj+I81kameWW1QvboeHCdoOQMb+bbQ1HSc6dg3HA+HhPmyTG2/QuLtqVMtnTixs5ejRXoOu4Ayk
SvcdScK9TBNTjBo/zHtBkOF3SmHyPsg4p7GtTk8ma83vgrPYfaOyZbvIVF1GUGHPilMeiYLa9ncL
OvjJ8/3ukkoe+Umy3kddO/4uiqHZposqPg0OcRTqhCu100wR/AQua6vJ8HYV7Cob7AewZElMbuM5
mNY0HVCTnFa7pcvLS+NN6St0XnkKurR8JUjABTUPBTdBQhtxR6JR5J5zpS3Shb1DiNyaRriopnMv
OYL5X3/WpEloOXBfYs6T97Zgz0M4TL1voAzcsMYBR5+dyYS5IhL3gQo3+qS9erKw+qpqfBt7YA6b
1vK7N6W7PuHepZ3nKjDdSzS48rPEhKZXUTXSgU5EpnmXsk4/Z2XTYpFkrC9kj4bwurD64Q5uqvAO
ryDyI9WIAPdJiqSfmZq5XwVj4X1NYRO+tq5YQINELZRwp4PKZUdvLSLxmhxUe5dxUiuwe5iSP1Ap
NlUT17tiivynxGL1dsIhOPBJyofBkdOFnJf6JAs4nR1QaSvpxulWtkV9MKNndktO4Ze8QWWhM3XA
4u1il1XCegrqKliXaM4rJ1pjIJ9aQpFt843PIATYQ/VIcLDCBRp/kxBzGrHqvuLTAzHSVbr4O9k+
bUCDbbYGPY8M4TJn+D8aei8r7pAb8jLBQUaFhYlRzRlnAj/lQu3m0hf0C0zDnYHj8eEmhfMSlQ0P
UOEs/Bks2T6ZNpZQf7KsefVF/1dWRU8cDKjnJwkb85dkHemzwGIZghYJS4SegmCyrD3Myq8qY7Dl
tIi4kfmsdWA2OEpoDFYYPagasG+HsdcgUe1NkXu205mYyVhY56wEeJxkLf3ESR1srLC9q0aMc/kY
P6lC+g+pl4o7Km1uVUw+QRuKxapjoJrmPFM8cCy04XGwGPqdFjGMgIBz77ZNiR0uyn6TACNjq5K8
adZy1hQPXgqKVjYMPYa9k6QwG3l8vjAKIcxXTSv4+bo/h7kdXCZuUOiSnnoqTXQ1S+5gPDUUbKcW
pe3K8bDHYz4jcZD4BDK94SFw7YfbTOjDxsPdrUQ3gzGFHFw+cLJDX7VZry55FEN0J02ZQxG94UhH
PLiY6fTiM39b1MbTef1q15R1wTcewkeOBrVPwKdKH9wS7VfNkTwon3x1SR/zxpPE9+PU8F7WUMSg
KIl0B7K6wiI0tsPZH5glkoRz07c+m9wdRFz5URrPvpRoYnIV5hYLuD8Fj14x9pee3w2NuU+vuWN7
F7uDm71KkzY6E38lPNGSH3ILI8+dsrtz4RfxU+jU3a6ZQyZ5bsN7Spm7emC4JhXlPLS0reJIVNt+
wmS5Wvyu3Ga++QOaCuSTmwFfylz7G/woLlTwv88hKxPA4dEF9N2RYwuXuNqBKM12Q2AvDze8xR7M
GPg1pxTxhdBN97hYmD9X483RnFtec4CgvnzqqY4IUnTlL2JmrIK6lT3zxpC6BoZXGPOsTj5wJ3Bf
w9z42N7siTMXxjxPspkB114hxuNjqByC5q71K1aTXJUGMKpjRMa32RFWK3WtYZq7kKxMbB1VHXYn
q4Vha+BT/7YLDiCovqSJRQlxOZEHrusoUaJ/mGy6pAZIGexlmo2Ufw2Oyo/FHdGQeefVbKebJi87
szYxxkTfy3nHcQjSkh6bdD9W/eCw8bjT/a2v4jUMF+c1nsnYEpApgcL7wwLVMCwLet8asHdAz7uX
SnIY3xWB1DQJRVPZ7KyaWd55ynOXkWzXopcKhh+YVKvMeoNOSujSzktmzxyiq3WO4+JpAb1XnNso
LJ7zaMGhQacNw94lgFO3Kfti/FvCC99j/gh/V+4SPsU6aZ1d1NRWvy3LMKx3ZHJZtyi/InJR1/Rh
rLFWeU+Ygzgiz7TEgwwFWP02+l75NVnYs9ZJPNsQBuSQhqeFUf9L4S/Ne++lhGXLpn/Q482MlAW9
fCSEsjBuo9H82s0M4rzJFw9sNx+BU3SbNJYVIbIk+W21Xr7raHVFG428k4xd8VrCy0T7inUPjS4H
rNw4NYMURekraQJiUPo+LGSEa7FN2mfC+3pjp2Z5YXwZwAF2o6tnQkYM5RxjwBkX9GvVe/E3U4Mw
WGeNm1QrmwaIlaW15W+saKagI2j6ZT1krX4nJ8sGwQjVXJTw6UrNH4sOp+2G+uHkpYINDsEJ52UV
DtWGXj9NLRo7wUGyzYhVseTqK85LCZzK6BG8WStuFrLGCh7jzvP0qptNnVB5YCzQkB6T2s3Uxpi/
Pa8l6WOMe63hTj56xl3eGJzPj1Y4EgtNnHpfwH/fK9l5v7yq0g9ep/xtEVsEKNrCpfysDsoHOaJi
bts5Dn+rrso/Ch3WZ2U503Ww3Irk++LkZINjjeriODX/hK8e3JuCU9ZaRdb0jhGPNq6Qw/UuDzRt
OnmhH3Qy+IS+fNqE1xUfxGNbwtOG0+Vm33SZRbj1fcd5zlIGvbgDbPFcFpG71VbKBRpUHGjlBodB
mBAbw0TnBfdD68inPmspyCS2/2AsCrZWJi36j4W82n0IUZa7fB+HF1veiPlFc2NwFap3fpEad89F
n4T0T2LGyXHsMf+kW0VEp9JY6Z+CaO8nHkZmZZi3uXtOdj9jMlsozQqNxzVuGab6jadtmtaU6LAT
MPXUD9L20j+zpW4LHC9R4PB/ilBtYbqr5WK7TXSiaMbeZ72QZ9Z2NiCZ2N/SH2FxJi0739xZ1q/Q
KrpHHQ7RSWN6vvPBQh4XLx//ytEv9iGPLcTX+Oak7pXWP2GZArSsxw13CDLTCifyofGX6AR3R4CL
aOtnEPTByXLpCsN1P343ZU9sZQkNTvnabg6lH2nOaJnoP53Olvk2G6P2iSsS0++ukWCOvPgx5nT2
h+Bf9Ly4A//A4ruj/aJ/z5RjuOKlCNBxEVFxoiqbIBmf4XMzS/WHHUjE5KDm5MVaHA+IhBjcYou/
4TqKSD61bRWgHrC2AKYfff+c2EpdhRfV587hh5y0JRKGee4aEsMNVrYR4++FsdptQ55covWQxKHZ
hh5G3rl+qkB/lus8Kd3uGez38qgrJLacw80d9qfwEXGrOda2k9MbSnmLW2nahKaeq4bfDtthcCBL
53P6ICYTnvix7IG32/rSDmxe/vWddiuq5IhJfXJlju/HCKCM0eK7x+0uKhBwxD7itUtd9SXENPtc
zB5WcvIh1Bclz4YGom2FXYqdkdHlEXZtUK6w2JC7dWGnebB8Ib9FvDymUxu/5r1eDZacdxPXVxSa
kQmHVYj0qDi2/47yltw6LgGx8j09PPkc6LkJ1IEFGWJkl5u07k6wS8iNGLodPshJDneoq3/aATfh
qlMyeMgzN7rMYes/asYZxGpiAhAVRFvFdRf5BhdydCJgcWBVTa9t0YCtw/e7rYbR/ds16WStpH1z
HzqttIo1Y3cCMRV+HLEOOCKcR3qI3ryMLSsXCUeWnAln5bgzbkTUlhbfWveKnqrI3TvtNu9VeyCZ
Gm/syIYob+yYEKxHa0CTZ5jxCqXEb9Lj8oJ2OG7r0MR/J9nI80yfI7NgJ/6wo/wWfxvr2FpX9pSc
wK9zkI1KdCtvGbnBuE4+nyV2v70rem8To+Yw7u2Czy7AKEyoUFnH1JI8kcxICkpmK2xKOmCRS6K+
I30l8+egQfOBkz2/FJH2v9vZ6C9aUtVLr0fqV8KK3vHtmFLyFyYlscLF0/p3X6Ff4g7k0sOIlKPJ
IrjjraaSxXgaYejxDCmIolml8gtdH/ZX7QWx2M5diq8V2x69mU0SHtOW4h/+UtbCo07cMe8wDZlA
ZexcTdZSuoYLfoOzGJxJmdbmrY8rF90mT3au27HnY8tW2xQEdbpuKUpNN6RKlstYwMDhiOpWpyjB
f5dpEkCroDLRn8QGtbiiSYZDXaXx1pL+7VIKyBP6FzpR5MQ4lFcpHnN2MZycZBhWYTh6/V2iNb9N
VfnZIZVtm6zpW3GoDhrQUdymOuuJ2NFKpZZ1ZMguIsDEN0gMMpVTr+jWdX+h2Xp0ZCKI4pSioPW7
n4rmvkNBfWTz4uwC8HRcpQFb+1HZwqk2kbvod+bN7naoSuslu92ugDwtuzEj0rj20Qe3c2FXG13U
9iUGE/Rd+e1tE6Mhy0qrgaIREpPpLsBFsE4YDp8XYTuUBfb63tgo3h6G5w0eaPjS/eBuYyrVeLPA
DdE6/kh9+tWDeMTtWmIMb4aTSZv6GFuNtYVrKjez6acfpwvKy8hx4p6wIevXQvtfFNlYDafOXacT
/2sBSZuvnFHa7zYeyHsgj9UFmqK7benYjQlBTBKAVaDec5jaj8M0NXdt1dMimEMA8F0Q/zXopz91
h8E7o5ziTozYClN4CsMaXHaxGet5+SMJcB0yYLzHYWnnA+d1xsSkyYPd//cGNQql8MV0P//zf3x+
C9SagpKF4o/6V4cPpARsOT7Gyv/aHrT5qfPi//5D/9sZhP8H/HqAzycOWfH47/9wBoX/ICzF/DfC
n/NPa9B/OIPc+B8xhD2cc07yT/cPztJ/dwbF//Btl5+ilI5KAsiL/x1nUPJ/ssTsGEcQJ3dIccgY
RCn+szWoaIJO8Me7NTzni1n1c69eximb3/NJTQ8Ue7+MFsW5jQfFAsRO3p2ND/0pwBXMizSX9Yeo
hulz6NvimFbJuG1qjtyQJmBG+IrmXroNOBjZmsC14dh2mwJmhah/uJJ8oeuGm3lJrG1fqmrDbtZe
KaZNXwDi4N7oHfnmtb74bDmgbyzXENSg5/Rq2uCpauvpXN+GkYBO5ld6gOytTdAdlkjCALpS7TOL
1ru26HpwGMoAk+71NrSseW832GXQg7khyg6RwvTPeG3ybX5bvzhhJ0+dtsicj6p/9gUNYrR1iG1G
oHUVDyo4FADN98pG6HKNZvLjpvXfJO2aO5i1+VccQnCPjVRfIwmwl3J0xb5M03CiwccDsTx57Bel
0GxoABud31WZmzXGKvo1+xhkHqU4YGiWsRVryVnxt8cttuO2FxBI6cHyf7QOPVJ22s2c3TJnQN2f
gkugpjJY0ZN9q2+p5TnvHQICXrxg11mSFoLQ/18S/l+WBDdMbNzE//V6cB2b8vPrXxeEf/uRf1sN
wn9g6buBxz0k2hBj33+sBjj+4oA8Ih6fCD98gqP3332C7j8CqhKiJLqZfUP3XxaDBJqr69j8YBDh
PLT/e4vBP9/2f7Xr2ZQgBK4H39CHtwkY4D+vBllGZ0fRuORGx0keBqcaPyFoEGaPPbZGWr/Pc29T
smb57bmZ4nwViCY7DjouuQE0DgJPwAPYmOCbeSlROj+ydjh3/Q0gK322qibfAuDH/hIE6ckXt9mB
Xj7D0b+isW+8EZkn1OJsWbix5iSmQaqlPH1IinvPgDabluKVarLvFIuDB0jrRBC45zRYOwvpzErv
enLWa0YQBXWNEaeVoEBl66u8PkHWay4AmZeHxonEH6QQWtswc35RlMwxsvbnhy4xhLZuSNtVF/rZ
q2tPwXpgV1/7Ziw2Q5JWvwMx1sCl+F1p5qQjpgJ8+j3ZnOP8vs3efCHno9W09G+E0LT6RkB5qtpP
ksbqVDLDOs5DrB9GK46psAm0t5KorZqwpB6vea31AWG+Obe48/DwyQAkTYOXJ0fl+GW4L2SD1s8F
zT33MvcZMacYBSwRXV2/mX4pQrw/fV0M70U4+4/C5sSIkp1ci7in+nr4p8cgLZ4Ry6l6cc1rGU39
lbSc8+xVfXAc+azPSqTF3ZTHzeucantf2La30gw6Njwa66Hvy88Zxeo+RwGbYW8z0gG+GU3PflIK
0DX5T0oF1noB2beWY9i/I6mla8s33Z9wSf8yQI+XTZTot5y+kyoPTiOuhS1CrfNIJ6nNbKOsrrd7
5zuHve6OeJB/9sTgwegjdONzMVjJCgQlG0nOCKPxyCcvXQwEAFzwny4Y+31Hh+JRaiAbVT7MJ2Hj
OJmRnA84jMRaIXofgROhLZroJx3OjvsOe5XNg+HUs7REe6oD9N4lbaJg5UKbxZtpMsYOuA4WvKcC
LnrYVvdJvsh9Qo0hhLXaeQAYO6wz4uEk8hdzX5sk3WQ23XtELBEkQS2svZukM+KxwqwZuslFYMSF
i9d2FN/nKSUKDS6D2gr/jrMf36sxUtve7ZG2Vc9doXX1UXVtfY/t4Ffm026aVESwiiKCR2WG6CWh
D2CH4a/+ZLzcr0JO3wV5K4sKVTAg23IgItRT/rVbGgJq2owoEMbuN+HY2lt/AYeTFaa/CKq6Dm4P
Y7wuweyJJXpgv9wLyi9XEfvJJY1TfxOUMfdEgB5Gd/sluxW29kh86doATVjPbvsV5Gbv+DV1S4EG
vzTa1WOnQ9hCFvUfFXspU0f46w5hKTctmjNY3vijQltgBmw30yOF3vMTbM8PSp2/6C7eBou8k030
B+cmClRaxYfOGvxbG1TK4nP7FcUQo3w4RAO75QlYwlPsoK2KmmZ2husGcwgjQG9mSg/NtF/rQnx7
QXs/FAsnA0V9rzOG1lMbduMbdlb8lU617IcqtB+itlSkiRvnbJeZOpHs9bej6qIfFVfpLmxRVwcu
TdfcvjW+FFHy7EUun6r2XRaPBLIN04o12DOuMkt9a4cyM+WGS6ffMpHGR+osiFJXDEVcO4LFFXEl
j6pJ7ie6Z45VG2jGVVKGR0kyfJ+O6XKNsyXYZRFtvKmXRYzRjCZSx7dtqgB6B56IlWPlal8l4FKs
lDhNh0y5d8eAACZHka+udFATTdWaOzUgRAtb6ZNNIvwNu8qyntqqu1Mw3U52r5tTU88xxMCk+ZqD
Rp1nwttAJSr7iZecepMipxCknnsQj5rh3i+6ICPuZabutlWj4Wqkfh5zD2Lh2+ZF7O1oU77pSmEG
GkT8wp/dbzu8u1bNYIoP4gDVLNqwYQTvU2M9jnJmXsnfHBMBGiuJ68lAY8RTU74PmVgIyMXlTW5V
u7Yt40061IkBFhTQajbkFEsnI++/MsFaFiAHVRPYVxnV28oeKc/IkrXFRARdN7pDGWIu7uXZGqrD
uVxa2o7p8G2WSZ8DzqE+U01fPePH5dY/zt84mKvDDHVyk6YT/YXFY+lBkeT6CswspqCjkEjLCnFk
71G7sfcCVvDAKZc1KPN+O4plomFDPeZT9AtHPnjBiV+AwGxn3ruSZWMFS6kMDhPyFgYwP13b6Myo
sgNH0BvTjUH474Lj4ZMdciLmVwf1DJVlyj4UND8y+i843u9dfJwtEylaSzKxlcqyV/ilca1rmd8N
lg2grq38Y1SGEHX5m78FIvE+pFfOm4IpxI02Czwh7Z6poBuo6GY4s3amCcuRAL76TqcB5ZpE8h4i
Ybpza0XqRyQ+bNtA37ZBiGB1JZqdDMi3En9JnmRIQk7ocRva4/uIoJKWOKXmcrl3RHZph9xlm8W/
nsLmAHbaF629SUsWVe3YJ6vviaN78s7TZi00woVLbHUFJwfKerkfuDchAJRAaK1KUFq9qONwa7bV
yANgxjNgseWPI6Hvghekt2dVS3d49rK5xzH4E2lv/su0Pr3HChPjZwpcpjZD3MDZKFS4adtZfS5s
Qz/lYlONgsfpSoqBk7YJNQpbRMXpi2hi9VKR7wCfaipB6xNF949msiEzdcFwoacq3+AOo1mPQb79
ytJTbnpIBHvZNwAQXMNFxW2czUKh72a89S0aQNrPOC/0UcRmEfswM9QrMrB4ob2MTbqPH2IroJ1K
xNYrkOpl3bUcUTK7+6k7rV86EWGnlIDUR79m9/Y8kTzGPrUU1CG1hHjJkuf3+FF3Ib6SFR6Vd0cN
EMsEBN+m8h7JuLQ3iLDZse0llyYVebE1yKbvZUA5ZsuxIguqP2XuQ4fPYBgXZ1VEB7AcI/kFH5ls
8QnA82a13KeQHGtZYq7Ef4qZ+NCCHzGW/VTZ+R82tNd5mL5l4ONHmplVZVm/yxyfnrOy49k1i8O+
yykszbcgJKNNGS7m0gHIobhD0LJncIKlQb6r4QBgJtKEG1F+x3sc9wR9u37GViRLDIgktV5YfuM7
AyaGUqfJ8rcc4UkHOJw6/fwe7FNxtrS0NsU0e4d+kfYjpzjz3Jb1svOnObg6QFwCUX77GQdYof3x
PPJFr/t6vIToQicrR2yXYMAwXLuU/nVeckrdQm0cz9EHz6JsrR2sz9KE3QG6VX03x4Yt+lbbp6IW
rIOEptkueXAnoTReOX73pzia3EPXztmpT2kNxfz6AcM6ep1S1j93KnKPrLw132LX8dPQx91DkjrO
jb74GdcNf95k6ECHgDTWUXgkdWlu9833Phw+MUgEm4LighU5kn2okJ9T27HegkLE7424cWqo+fvV
+MNGhJRz83UUpEj56H5QfwShfSd8nI2BqVo2drBKBBjZsK/qg+r7A1eL8OCRWuZDFdldCnLtGsU3
phfxCA8ky1uXq/4O0C0tPkV7m0r3pCyHsLdYeDzaHOcKSFTaDzdjboroJlLc23TqhvSNY9nzg303
jemvxuT9o525VMtSif7kDZ2HjIg1iTPY/NS6dfM2EEL/J2tuZQWBeXIt7I0TGcHvFhPynmBq8zfp
unSvYZtAd+AETfDcv3MdH1fEgkjyWbhFfkePIbdvZ47dMwHl4jmDJnnrFO2LV2nXbBk1SQCgdTSb
o/zuCX7b907E3JBJCw2+uZTHdKE8yI4aCFn+4hC2iFwscLP49vsxubfiLng1joNlQ83U2Hmj/Ehk
nz1VfVk/t7N2T9A5AMOVDj5PzFJgqLgJbHljcOTL2+ba5I+yxOQ0BIC7Milfxzz1D5bUM5RUWsHC
uW9IkCh5FnYQbZc0/ZmbeXCo7MzDXVMbjm7aS3fVEsYfjh4IatDp+0QESm61csiySPyVOH9BWagg
+M2Vtd8uIkt+OpW6m4QL4JHynPYh/F/cndly3Mh2RX/FPwAGElMCL36oeeIskiJfEJQoYUjMM/D1
d6HYvpba0o2W2+GQzYcbN1piqSoLSJw8Z++1gyi66kQY7WyroSAnt/WQE4vAU8MCfpyVriCw80Zp
fbZuAypzXM7igKbaJj/Ji6+MqbpO9dAg0M3Gpyyb9OBOiujIwvD2jRTmCSGn+soHLde+V8ijkiGD
zKQhA6dPxq9QAD83MMygcFfBsujdYCWqQeCbEgw3OsKhgEP5Rz8MrgCeUjkK79KYxVnY28AiKTt6
ijRQ7P2UPKPUnnDkxJgFWlRQ9sQ8V0/HJci1/jgf8mFkZF/KvtgyD/COOaQdAK8htBXkyY/M/6Fk
yAGDfcg9t0o6h7Shkoklswiok5Rgy5Im8wPZ1oJIPr17DHRSDLVSv4+Jq9qQCeX2PmEopTr4aXcb
985KBj2by0hJrusbLRDj1UjfeEPIF7qKcbhGXfBphp3OGL/4qs0hZ4LRrVdlU6LxR0G7rZj4kYml
ZwX2DC7UhJSlpoqd65b8yinUrwL2z3UCy3+uDaJNXmr4rQqNJrpF7jQz2WSlrKi67WZ2rR4Cw+2A
/a7J/U13PCnig+iKbFF2qXsN7s7a1pMsl5kdXHYSaxr/lg6NemgFIgeDrT1UsWGsRO7jo5g848kw
KJ6gxlplwhAmyRNAPwWEJwrfXYiWyXVJDA66/pSyFeLK0Ybuvrbj7Dn1SQtbmKHwP1c+weMLP5Qk
iuhhif9X7+LbtBLa3WChTEv3ldW5C7cJ4etMfPFXeaqyq7iJxQtPwOqq0BKOuWHFG4/p3C+mSAzB
UmjIcs3JfzQEtLqy49yygNTA+RRMEd7ySoktvuhmK4vAuauyAchu47SAjGlpmoNlbdvOqD5j2PDg
N2GbeKaJ2XweUjx/dQG4berYPFka7+iXIke70rk7Dz/lAhsIOue8bla8gPWRs3T/CNg8vW/K3rpS
0sgZp2b5xDAIZD/f6S16B94MCIvHwOi/FEnM1CWChhTCrb8eBf+vHSBx4l3t8CbYaMzrTBMMVh2x
BpIDlsyHXDmO2kmLUQKpxAo2ksIC3UJJzlciGJEZqGwp02NuW73w5L1MBvJ/MYBScOfppZ7qa6Oa
3KUe2OxYXRDtnBFCiVch9EK49mFw1GtV9GANIw2WYfTGPCrey7K6TDtsXXCPymJhDk81hx+Xe1ia
YrxsvfElLzPtAHQsfE8A+Z+2Sf9fMkB7Bqbcnzc0Obq9Vt/2Mwl84hf+sD27FyYjCFvnNMtDz7Vo
Wr7bnl2TsQf/2XEMk+bkeezxn+lUqPKk49EcMhzao9/0M60LfgP4nKnrtjl7+n9luOE6fwY90DMA
2iaEZTPb4CV549+Z7TsnqTMvNbeFL6wPcWBNK1AiGQds6sEuHtptV6bPoUoHBgKu+xzB1+GEQBtp
0fA/1hb6r3MZ5pZ64lrCBNZNzqUgjMjfD/gzgZgbVYibsHKcJ2PqEUD1zD9OviKhdaGaMtsrpPxQ
1brpiSiv/CtoteYJxyihg3gXm2tHasMNbslk4dW6xpaWq03PzOYwVJ1xx7G3PFp1hoJT1LIAlNvs
g24kBVjw5HhCs2pYiALr+BgnHp0A/FTZBxUBf9uryNJoVvAPLW2LlgmYGrgvIRFyD9Aiyy2GUPvo
eHn3UkYFzLdYcxVhdnhYHyFu6A8+FGFv05oBr23m7I+YJ5FVwb4x3rwAUBtlC70yZr7BBmuIupqM
uCLhgBr6RNCJtJYVGtAFecNA30LHrG61IlfgadpovPVIy9p0qcwuM9dSPKkUebBYQuiuXgcYrL5S
Pml3vpn46PZBD74Wwk7Fgmhpth1MTeVVCGWQaZXu4pbEn6CB+Qw7dUvrbYRwzImiHU2YcFmJj1v1
ytzQGM5Ppl3b+1gIUmdTbCubVMbejo4IgLbB/Bo2iaRvFtqxRv6TVe1iTZXtIvd08giHRufbDVsI
uDwP0ogMnFjtCeKRa0TexaaWQt6Dp8GgjZnqbWwSIscBz7fblqT1z4US/TP0H+eggek52kiVb5EU
Gg8ci6pLBWsPkNCo0y7Hnxhra1om1OhsdkGNBAKVWxs44y5Rg3ddlWSdlbbKgqXNcOyAeFyerAyS
rt00+u1kU/JA0e4RT7f2C4iShMOo3dxbuhX2u5y0v9to0jgmImXHNRvbg3elo9K6Lhx0X4i/3ebS
ppN2sktp7Kn7OdOgyQFcX09GChpttsZXjkp3PO3i2yho8fMqrxtOfl/fp/rkv3hIww+asqxnCTHv
KLUx2QVGZbBMufCuKoB0nOEk87FF0ZU2cuwzTE956M8XTl7Lifp+Bu659WTu6w7k38J0kAVEqKnv
gGRNG3eMMbRFGuDA8qUoUn/lO0iJSw4hj+XMkq68/KAPLfOH1kc0PVrXjbI469jehgcwjsXKevI5
v6atUdM0khU8NRniZnL7tyQtPwsM04Chq/sSBKEX4Vb0TYyaHij6ooDlPTExSMtgJdFsLMUcOgVr
BlWe06awHmfUoXPGHvaGgT8b9Zi7iCyIsU2O1RIokmzoV7T2gXMN3i6TdqCF+h8zU5Oe8Js7a27D
7iHzGFtoepgsKmHm28Rq2va2cXxoPsGZ4zjpGkf5QBvwilDtoANxG63jcg3CzypjT1yxmxjDOsdP
7lEoD2FII4rFWcArp0eVuT1sRn4JPVd+BkzS/Wi1U0/HA2yUK9VbZGbtphWxtqHdZnNZNMNWpJzM
9c6ixxmUNNQrug1dz9kmDRjrIIrw/QfJ0s7J27RQClttXOQYMI/DWZujJ0G5zuKm3RDXjErHjvR7
F3nhiytKNGEG8QPHlFQCGqO+uvHR+W/0OI++on3wUXEqGw8U8MBx04+KjBhTg9s1GZIb3uzaZ4Ka
9V2psGEtMIVEu1liuGlzhXU3raVxWWFmQmNMhKsHMPGjZdCE8auxWpU+VIe0AMiVMFC5J9+pwhvX
oqtJy7FcGbGU27otG+6HoL7BuzgrSgqr/RQMWbJmrLabAvsolKKliuH8Y2UE9TEIBhTISrtvi07t
48xVd2NUBtdOjbTaoEG1dbPMvCmzUxEhpwIVdYOiK1oZHMsePM/sNnXRZ8aSw325n1ShXel1hg7c
5Gq67osqOdFwibulajkmISd89j2veZaaUo/IgvNLllndpmqyXhpqNw40lT4U9CY6/zoISQMKuxEL
pRFMBDC3pEv1LsjuGtnUZZhO2bTqEfOsLa89JuOEymrqbMT/3XRkMkbIgJfw1U29SvDMox7EJWNU
Sz/F2Iy1BGtQMTTXMG3Mg0xS2LdtMhVLElPjN6ZyLQ4FzBaLVIPYSPnIVTb/2xLb2k1D1Bo+eDXu
DFE4nyHyjlvHD9j63NQYl2aW4DJJxEAyimVm2omcYySW1owU7HncF1W5EQS1YDFS/V3o1XSLyQbI
t65LN9ObxmBLR7pYRuRFPWlZOz00lmucJga36JQlsOPC8kv4iRhy9oFuvtUjsiNd9IrBhgvCGWB7
8TCgFkXeR+lB6EpZydNQuCAJ3Xp0UdcZAKzSV7POIi5jMIdklAQoeGszwELic/An4km99Oyn0FtD
3dTWY5Dlt9JySVzoy2j6AKHEMGY9cXvAJu081qXqHoZYvOG6INwh8mttIYPEvJZeHXzBUxhsMidE
czYajBbH2rKACfekKGGpMB7jSvYfJFvNqz/IiE0XRyR0aQ561kLGdvEAtSL5kpiJogFOL4buXsxc
pxHPIQcwhzC20rxuyqIHFc5BnV7+2s3t+DAVdvfR84NPaBV33FouWmMPEqUBm7fTUCCW4l7HM7PA
E98fiCS7shOnJKOvhEvd9tM+Q3Bv3KuKm2TXwio+kgzg3HeZ8unRtQa5KF6zR2FN0UH6SM3kAmTz
aPJFjUa1N2aGfRnzMF2U+OtX4FSSVWYbPZ4Zrul21Hm0QgrcFDxTHvIxTzYCXj+MA1HdwI0eHlQx
aYB/PQSUScY5pE6sNQgW7YM7SIA0NK8r3XBv8Y+kV3D8qffMKH4SCLf3XZW266ojvj2rYrWlM5Wt
A8qt3SAz7yPQivHaF07+1uGj3/T1hGijd5zxvmKAt2tjWPKFUe+sQA9PYQ5kTHUhOVVZjXEG1uZX
OWkCxoB9TTxIRJOPxz1JEOLTeMY6RGfEw9ARn7IYOy06JmcIhDfzIHxf70FyzJCIYeZF4MpnI5kZ
EpycUNFpcCXwFDXbPu2jG2emTogzf6IR2NVmJkXre3OWcZYuhW859CCHN+i39U0EzKJ1zWYnZr7F
OJMu3Jl5IWf6RdlA6B3b/kTRiczFyyy4ftAy/IJtPZ8JGoUJ2kZGpNuEnzwQG4XwrmUQ1Js0Z0rC
HQyJIz9DOcoCrWYIqIM9MW0XxkzvSM8gj3wcCIDU+xbyGZk/01HO1A9zbOB/6NhsnvticuWB0Oph
K53C47vPE+srRVZO0sFMEuEhVdLVgy4iz6CRKS2p/fDCe28oOoWgT8bTCItOf49HSq4sABezKv1S
idi+o5gcDxxqQ1QHtYLzE3lUczPdxEWtQ/snEPQq+so2PyRKBLuUtholJdOLvomPMJCcK3YErDoz
N8UJjK5apIEZfSz4jZORMhtYUmdOV9UZvFLoMFgSKuv7HMzeifvVbqm9ILVUM7NFoTDskf5AcrHO
UJfiDHjxqXBXbqtExcgkS+4nZs60AfsieM5gXJ/MMyxGzNwYDEYZfHFEVwuK1ZTcQCbcUO0bDuUQ
XgEq1GcMjSorvJPBpNPNVn4RPhFjJ45VUUA/DmeSTSApMay23kNiT686elUzzzm9NDpH3pJLaKEl
kOTBYMbL0jd35uUQ++1eOp6Szy34i73relq7cBxEE8sU1WS49DO/HZZWQhDxKmvRvGt5IejsTb37
gTEBqtVKAQodXIlapCGcySptcgU9MiXyAr+GBtF9OcbMy9i1XmnuNgtMw4TpuFa4xfBDrGVECocR
3Bil/bWcMUF+lmv7gTQ+oFLaXi/CnWVHV0gsGc45BX41ZsD3+kwZIrEj2vozeQgAsLkEYbIlBHBP
nZDuWIgJOeYmy6kNeScHx86+6iNLEgXaznAGqH2KgpsjMjlf2HlmO8GTVzG+7kNyaWY5HrlcD9jf
5YLjYL+p4uaa03m2xOtxaRokbqS6tjOjZthwGPmk+eZJ2fEqi8ilmDw6JlIPXsCkgBniaIb32lih
KnBWU0+nWOVhs5co/tdpL7qFDZ0RqmFqrkxkCEuiknifXVbj3+hJMkhwNCfGSk+GV4zCq7oNd41X
hisCUq4njLQ3PTCfNR6+6ZJ7D4+C6aN16z2x6PuxMnEaGuYhzurgzgdxsLX8Arl02bXrUm+xQlsR
FjEEFuaGYZOiKCXMfjvA2b8dfVv4S1iKo7nUvNYtcUk31ckZ25jQ9IT1datEbtUwm6FMq9tZmvQf
2xnahXkEfld4ZnnFM9ZrOBO+phn2lZy5X05QeI+oQobXxgz8Y40H1CbgDhx1r+yPQV+0wbrRbA+A
8cQB56CbIrpj4jGka8c0px2jvwHNuKc/gSNP7hsg3dApKhq/ADaS+gCjHR9+56J40GVXPFlMjs2R
S1Fv3A8Ycu0jG4zCjV+4uyEpX6cCw37p9Ix9yA/17NpbY5Psvhhjyzy0BL9+FbSmu+OMRQBUqBdk
jaAnY+ROO3kBsbl74c6KlpFdROUCpPmWGDZnO4w8qu2II5wResEhnoxh17h0CRZuKLw1uQDFEUIB
DYY0oG3IDI/OduIR8uI0LcZuWcsHl8JlzvlL6Rz7oG/2/7/0hH80CFevzSu8I6TDt8QojHdf8FY1
/yTxzX86WymaD/l/7y/9B9Lvxy/0b1++USh+ztusmd9BEOXZt+05If6sTzy/pfP7/VevkLzysdo3
9NCGcYGq2BbkVOvnH1KQkzwL/vhj6V2YDhoGEjVm/Cah2d9+1T9+6+8L9a8/3l/5O999gJ/qtjHI
w9D5c1fzJ8vwp1f5bhkc+pOCoOUfLoO4sMHcADf8XZeBB7qABPlda/dXF0FYF7M+0yDz/YeL4FwI
R8LUQeJ+/nm/9r65W352P/xvXQvYcYz3CxRCKfTMf16f//WG+OmVILwL5LC6ix7/Z4uAjBIE9Psa
zP1sFv03WgRzvkr/5pVgoE+2LUGrn2vqm+3AlRcebX40zb/rp2cjc03IQ39xX/z5ZSBhvOqO7Qlk
0d+sABsioFYXgekfF8A7T/Z3+v4Zqvzd71+IC52VhHD7p08/+1Ekw177fa/5jT42+vpZRf/3NkAY
vQj8qNR4pW+/dIePzdaCceZ9T3h/3PxGn978Adn4V7d/A7sC8zu2j/cPqX9fCrj6he04FAscvn7P
7f8nFq5fXgf3Am4WIhQsFuef79cBjxcbrDXbM97X4bcriX7kW/nVRQBX7WI2sYGtf38r2GCsHRKR
dPmbXgWIpay/u/tzK9iAui0DTtiPLgEej/P271p/FM2/XSX0Prf/W5uhYV9Q7c0mJObz88/3t4HL
H+uew677C5vhX9gxOWDNf+tz8uW1+vd/AAAA//8=</cx:binary>
              </cx:geoCache>
            </cx:geography>
          </cx:layoutPr>
        </cx:series>
      </cx:plotAreaRegion>
    </cx:plotArea>
    <cx:legend pos="l" align="ctr" overlay="1">
      <cx:spPr>
        <a:noFill/>
      </cx:sp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7.xml"/><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absolute">
    <xdr:from>
      <xdr:col>16</xdr:col>
      <xdr:colOff>361950</xdr:colOff>
      <xdr:row>4</xdr:row>
      <xdr:rowOff>47624</xdr:rowOff>
    </xdr:from>
    <xdr:to>
      <xdr:col>20</xdr:col>
      <xdr:colOff>457198</xdr:colOff>
      <xdr:row>23</xdr:row>
      <xdr:rowOff>171449</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CC57C9C-C078-4756-96D8-F79289CAAF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0115550" y="819149"/>
              <a:ext cx="2533648" cy="37433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fPrintsWithSheet="0"/>
  </xdr:twoCellAnchor>
  <xdr:twoCellAnchor>
    <xdr:from>
      <xdr:col>13</xdr:col>
      <xdr:colOff>219075</xdr:colOff>
      <xdr:row>3</xdr:row>
      <xdr:rowOff>180975</xdr:rowOff>
    </xdr:from>
    <xdr:to>
      <xdr:col>16</xdr:col>
      <xdr:colOff>342900</xdr:colOff>
      <xdr:row>14</xdr:row>
      <xdr:rowOff>85725</xdr:rowOff>
    </xdr:to>
    <xdr:graphicFrame macro="">
      <xdr:nvGraphicFramePr>
        <xdr:cNvPr id="8" name="Chart 7">
          <a:extLst>
            <a:ext uri="{FF2B5EF4-FFF2-40B4-BE49-F238E27FC236}">
              <a16:creationId xmlns:a16="http://schemas.microsoft.com/office/drawing/2014/main" id="{AB81F886-7B03-46A5-9843-3D8B94169E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342900</xdr:colOff>
      <xdr:row>4</xdr:row>
      <xdr:rowOff>9525</xdr:rowOff>
    </xdr:from>
    <xdr:to>
      <xdr:col>8</xdr:col>
      <xdr:colOff>133350</xdr:colOff>
      <xdr:row>14</xdr:row>
      <xdr:rowOff>85724</xdr:rowOff>
    </xdr:to>
    <xdr:graphicFrame macro="">
      <xdr:nvGraphicFramePr>
        <xdr:cNvPr id="11" name="Chart 10">
          <a:extLst>
            <a:ext uri="{FF2B5EF4-FFF2-40B4-BE49-F238E27FC236}">
              <a16:creationId xmlns:a16="http://schemas.microsoft.com/office/drawing/2014/main" id="{61EBD515-3E10-46B1-AD9B-9F585B6639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352424</xdr:colOff>
      <xdr:row>14</xdr:row>
      <xdr:rowOff>152399</xdr:rowOff>
    </xdr:from>
    <xdr:to>
      <xdr:col>8</xdr:col>
      <xdr:colOff>133349</xdr:colOff>
      <xdr:row>26</xdr:row>
      <xdr:rowOff>85724</xdr:rowOff>
    </xdr:to>
    <xdr:graphicFrame macro="">
      <xdr:nvGraphicFramePr>
        <xdr:cNvPr id="13" name="Chart 12">
          <a:extLst>
            <a:ext uri="{FF2B5EF4-FFF2-40B4-BE49-F238E27FC236}">
              <a16:creationId xmlns:a16="http://schemas.microsoft.com/office/drawing/2014/main" id="{6A86525F-103F-487C-BF56-145EC7787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47625</xdr:colOff>
      <xdr:row>7</xdr:row>
      <xdr:rowOff>161925</xdr:rowOff>
    </xdr:from>
    <xdr:to>
      <xdr:col>2</xdr:col>
      <xdr:colOff>276225</xdr:colOff>
      <xdr:row>17</xdr:row>
      <xdr:rowOff>9525</xdr:rowOff>
    </xdr:to>
    <mc:AlternateContent xmlns:mc="http://schemas.openxmlformats.org/markup-compatibility/2006">
      <mc:Choice xmlns:a14="http://schemas.microsoft.com/office/drawing/2010/main" Requires="a14">
        <xdr:graphicFrame macro="">
          <xdr:nvGraphicFramePr>
            <xdr:cNvPr id="15" name="State">
              <a:extLst>
                <a:ext uri="{FF2B5EF4-FFF2-40B4-BE49-F238E27FC236}">
                  <a16:creationId xmlns:a16="http://schemas.microsoft.com/office/drawing/2014/main" id="{65E60F5F-09F7-8C1A-63CA-DF11FCC34A5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47625" y="1504950"/>
              <a:ext cx="1447800" cy="1752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209550</xdr:colOff>
      <xdr:row>3</xdr:row>
      <xdr:rowOff>152400</xdr:rowOff>
    </xdr:from>
    <xdr:to>
      <xdr:col>13</xdr:col>
      <xdr:colOff>180975</xdr:colOff>
      <xdr:row>14</xdr:row>
      <xdr:rowOff>47625</xdr:rowOff>
    </xdr:to>
    <xdr:graphicFrame macro="">
      <xdr:nvGraphicFramePr>
        <xdr:cNvPr id="18" name="Chart 17">
          <a:extLst>
            <a:ext uri="{FF2B5EF4-FFF2-40B4-BE49-F238E27FC236}">
              <a16:creationId xmlns:a16="http://schemas.microsoft.com/office/drawing/2014/main" id="{FC86449B-EF13-4AB8-8B94-1AC64BF642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190499</xdr:colOff>
      <xdr:row>14</xdr:row>
      <xdr:rowOff>142874</xdr:rowOff>
    </xdr:from>
    <xdr:to>
      <xdr:col>12</xdr:col>
      <xdr:colOff>200024</xdr:colOff>
      <xdr:row>26</xdr:row>
      <xdr:rowOff>114300</xdr:rowOff>
    </xdr:to>
    <xdr:graphicFrame macro="">
      <xdr:nvGraphicFramePr>
        <xdr:cNvPr id="19" name="Chart 18">
          <a:extLst>
            <a:ext uri="{FF2B5EF4-FFF2-40B4-BE49-F238E27FC236}">
              <a16:creationId xmlns:a16="http://schemas.microsoft.com/office/drawing/2014/main" id="{9DA782CF-66CC-438F-8543-7EFA7874B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47626</xdr:colOff>
      <xdr:row>1</xdr:row>
      <xdr:rowOff>171450</xdr:rowOff>
    </xdr:from>
    <xdr:to>
      <xdr:col>2</xdr:col>
      <xdr:colOff>361950</xdr:colOff>
      <xdr:row>7</xdr:row>
      <xdr:rowOff>85725</xdr:rowOff>
    </xdr:to>
    <mc:AlternateContent xmlns:mc="http://schemas.openxmlformats.org/markup-compatibility/2006">
      <mc:Choice xmlns:tsle="http://schemas.microsoft.com/office/drawing/2012/timeslicer" Requires="tsle">
        <xdr:graphicFrame macro="">
          <xdr:nvGraphicFramePr>
            <xdr:cNvPr id="20" name="Date">
              <a:extLst>
                <a:ext uri="{FF2B5EF4-FFF2-40B4-BE49-F238E27FC236}">
                  <a16:creationId xmlns:a16="http://schemas.microsoft.com/office/drawing/2014/main" id="{99ACFA90-DB85-6EF1-9E0A-11C78C2535DF}"/>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7626" y="361950"/>
              <a:ext cx="1533524" cy="1066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38100</xdr:colOff>
      <xdr:row>17</xdr:row>
      <xdr:rowOff>85725</xdr:rowOff>
    </xdr:from>
    <xdr:to>
      <xdr:col>2</xdr:col>
      <xdr:colOff>238125</xdr:colOff>
      <xdr:row>26</xdr:row>
      <xdr:rowOff>114300</xdr:rowOff>
    </xdr:to>
    <mc:AlternateContent xmlns:mc="http://schemas.openxmlformats.org/markup-compatibility/2006">
      <mc:Choice xmlns:a14="http://schemas.microsoft.com/office/drawing/2010/main" Requires="a14">
        <xdr:graphicFrame macro="">
          <xdr:nvGraphicFramePr>
            <xdr:cNvPr id="24" name="Medicine Name">
              <a:extLst>
                <a:ext uri="{FF2B5EF4-FFF2-40B4-BE49-F238E27FC236}">
                  <a16:creationId xmlns:a16="http://schemas.microsoft.com/office/drawing/2014/main" id="{14A2A1FE-ED1C-5C37-5A1B-5D70FE498E88}"/>
                </a:ext>
              </a:extLst>
            </xdr:cNvPr>
            <xdr:cNvGraphicFramePr/>
          </xdr:nvGraphicFramePr>
          <xdr:xfrm>
            <a:off x="0" y="0"/>
            <a:ext cx="0" cy="0"/>
          </xdr:xfrm>
          <a:graphic>
            <a:graphicData uri="http://schemas.microsoft.com/office/drawing/2010/slicer">
              <sle:slicer xmlns:sle="http://schemas.microsoft.com/office/drawing/2010/slicer" name="Medicine Name"/>
            </a:graphicData>
          </a:graphic>
        </xdr:graphicFrame>
      </mc:Choice>
      <mc:Fallback>
        <xdr:sp macro="" textlink="">
          <xdr:nvSpPr>
            <xdr:cNvPr id="0" name=""/>
            <xdr:cNvSpPr>
              <a:spLocks noTextEdit="1"/>
            </xdr:cNvSpPr>
          </xdr:nvSpPr>
          <xdr:spPr>
            <a:xfrm>
              <a:off x="38100" y="3333750"/>
              <a:ext cx="1419225" cy="1743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304800</xdr:colOff>
      <xdr:row>14</xdr:row>
      <xdr:rowOff>171450</xdr:rowOff>
    </xdr:from>
    <xdr:to>
      <xdr:col>16</xdr:col>
      <xdr:colOff>295274</xdr:colOff>
      <xdr:row>26</xdr:row>
      <xdr:rowOff>133350</xdr:rowOff>
    </xdr:to>
    <xdr:graphicFrame macro="">
      <xdr:nvGraphicFramePr>
        <xdr:cNvPr id="25" name="Chart 24">
          <a:extLst>
            <a:ext uri="{FF2B5EF4-FFF2-40B4-BE49-F238E27FC236}">
              <a16:creationId xmlns:a16="http://schemas.microsoft.com/office/drawing/2014/main" id="{F08DB558-9D86-4F1C-AE2E-F228395CC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17</xdr:col>
      <xdr:colOff>47625</xdr:colOff>
      <xdr:row>0</xdr:row>
      <xdr:rowOff>123825</xdr:rowOff>
    </xdr:from>
    <xdr:to>
      <xdr:col>20</xdr:col>
      <xdr:colOff>47625</xdr:colOff>
      <xdr:row>4</xdr:row>
      <xdr:rowOff>19050</xdr:rowOff>
    </xdr:to>
    <mc:AlternateContent xmlns:mc="http://schemas.openxmlformats.org/markup-compatibility/2006">
      <mc:Choice xmlns:sle15="http://schemas.microsoft.com/office/drawing/2012/slicer" Requires="sle15">
        <xdr:graphicFrame macro="">
          <xdr:nvGraphicFramePr>
            <xdr:cNvPr id="26" name="state 2">
              <a:extLst>
                <a:ext uri="{FF2B5EF4-FFF2-40B4-BE49-F238E27FC236}">
                  <a16:creationId xmlns:a16="http://schemas.microsoft.com/office/drawing/2014/main" id="{F557BC01-F56C-44AB-A86D-AD5DAD12DC43}"/>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10410825" y="123825"/>
              <a:ext cx="1828800" cy="66675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695325</xdr:colOff>
      <xdr:row>1</xdr:row>
      <xdr:rowOff>161925</xdr:rowOff>
    </xdr:from>
    <xdr:to>
      <xdr:col>6</xdr:col>
      <xdr:colOff>38100</xdr:colOff>
      <xdr:row>17</xdr:row>
      <xdr:rowOff>190499</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171E6DD3-46F2-97CC-016A-A0CE7979230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5325" y="352425"/>
              <a:ext cx="5572125" cy="307657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0</xdr:colOff>
      <xdr:row>0</xdr:row>
      <xdr:rowOff>0</xdr:rowOff>
    </xdr:from>
    <xdr:to>
      <xdr:col>12</xdr:col>
      <xdr:colOff>104775</xdr:colOff>
      <xdr:row>14</xdr:row>
      <xdr:rowOff>76200</xdr:rowOff>
    </xdr:to>
    <xdr:graphicFrame macro="">
      <xdr:nvGraphicFramePr>
        <xdr:cNvPr id="8" name="Chart 7">
          <a:extLst>
            <a:ext uri="{FF2B5EF4-FFF2-40B4-BE49-F238E27FC236}">
              <a16:creationId xmlns:a16="http://schemas.microsoft.com/office/drawing/2014/main" id="{DB950812-5256-26EB-6F4F-95C5F6039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6</xdr:col>
      <xdr:colOff>657225</xdr:colOff>
      <xdr:row>7</xdr:row>
      <xdr:rowOff>76200</xdr:rowOff>
    </xdr:from>
    <xdr:to>
      <xdr:col>8</xdr:col>
      <xdr:colOff>781050</xdr:colOff>
      <xdr:row>21</xdr:row>
      <xdr:rowOff>76200</xdr:rowOff>
    </xdr:to>
    <mc:AlternateContent xmlns:mc="http://schemas.openxmlformats.org/markup-compatibility/2006">
      <mc:Choice xmlns:sle15="http://schemas.microsoft.com/office/drawing/2012/slicer" Requires="sle15">
        <xdr:graphicFrame macro="">
          <xdr:nvGraphicFramePr>
            <xdr:cNvPr id="2" name="state 1">
              <a:extLst>
                <a:ext uri="{FF2B5EF4-FFF2-40B4-BE49-F238E27FC236}">
                  <a16:creationId xmlns:a16="http://schemas.microsoft.com/office/drawing/2014/main" id="{9EBF177E-0C6E-776F-8292-C570D4B1F55E}"/>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6886575" y="1409700"/>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447675</xdr:colOff>
      <xdr:row>2</xdr:row>
      <xdr:rowOff>33337</xdr:rowOff>
    </xdr:from>
    <xdr:to>
      <xdr:col>12</xdr:col>
      <xdr:colOff>47625</xdr:colOff>
      <xdr:row>16</xdr:row>
      <xdr:rowOff>109537</xdr:rowOff>
    </xdr:to>
    <xdr:graphicFrame macro="">
      <xdr:nvGraphicFramePr>
        <xdr:cNvPr id="2" name="Chart 1">
          <a:extLst>
            <a:ext uri="{FF2B5EF4-FFF2-40B4-BE49-F238E27FC236}">
              <a16:creationId xmlns:a16="http://schemas.microsoft.com/office/drawing/2014/main" id="{FC7C9EAF-3DB5-0703-ADF0-4727A6CBFF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571500</xdr:colOff>
      <xdr:row>6</xdr:row>
      <xdr:rowOff>80962</xdr:rowOff>
    </xdr:from>
    <xdr:to>
      <xdr:col>13</xdr:col>
      <xdr:colOff>219075</xdr:colOff>
      <xdr:row>20</xdr:row>
      <xdr:rowOff>157162</xdr:rowOff>
    </xdr:to>
    <xdr:graphicFrame macro="">
      <xdr:nvGraphicFramePr>
        <xdr:cNvPr id="9" name="Chart 8">
          <a:extLst>
            <a:ext uri="{FF2B5EF4-FFF2-40B4-BE49-F238E27FC236}">
              <a16:creationId xmlns:a16="http://schemas.microsoft.com/office/drawing/2014/main" id="{12121EFD-3F63-5E4A-BF0B-2B70041E61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85725</xdr:colOff>
      <xdr:row>2</xdr:row>
      <xdr:rowOff>176212</xdr:rowOff>
    </xdr:from>
    <xdr:to>
      <xdr:col>9</xdr:col>
      <xdr:colOff>457200</xdr:colOff>
      <xdr:row>19</xdr:row>
      <xdr:rowOff>152400</xdr:rowOff>
    </xdr:to>
    <xdr:graphicFrame macro="">
      <xdr:nvGraphicFramePr>
        <xdr:cNvPr id="2" name="Chart 1">
          <a:extLst>
            <a:ext uri="{FF2B5EF4-FFF2-40B4-BE49-F238E27FC236}">
              <a16:creationId xmlns:a16="http://schemas.microsoft.com/office/drawing/2014/main" id="{3C0BB5EF-F607-8B91-D1E5-297A064E36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476250</xdr:colOff>
      <xdr:row>3</xdr:row>
      <xdr:rowOff>80962</xdr:rowOff>
    </xdr:from>
    <xdr:to>
      <xdr:col>10</xdr:col>
      <xdr:colOff>171450</xdr:colOff>
      <xdr:row>17</xdr:row>
      <xdr:rowOff>157162</xdr:rowOff>
    </xdr:to>
    <xdr:graphicFrame macro="">
      <xdr:nvGraphicFramePr>
        <xdr:cNvPr id="3" name="Chart 2">
          <a:extLst>
            <a:ext uri="{FF2B5EF4-FFF2-40B4-BE49-F238E27FC236}">
              <a16:creationId xmlns:a16="http://schemas.microsoft.com/office/drawing/2014/main" id="{C97177B6-D28E-80DC-5769-C69FA2DD28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219075</xdr:colOff>
      <xdr:row>6</xdr:row>
      <xdr:rowOff>80962</xdr:rowOff>
    </xdr:from>
    <xdr:to>
      <xdr:col>9</xdr:col>
      <xdr:colOff>523875</xdr:colOff>
      <xdr:row>20</xdr:row>
      <xdr:rowOff>157162</xdr:rowOff>
    </xdr:to>
    <xdr:graphicFrame macro="">
      <xdr:nvGraphicFramePr>
        <xdr:cNvPr id="2" name="Chart 1">
          <a:extLst>
            <a:ext uri="{FF2B5EF4-FFF2-40B4-BE49-F238E27FC236}">
              <a16:creationId xmlns:a16="http://schemas.microsoft.com/office/drawing/2014/main" id="{D735522E-B3FB-1629-E5EA-B8E3707FA7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581025</xdr:colOff>
      <xdr:row>6</xdr:row>
      <xdr:rowOff>80962</xdr:rowOff>
    </xdr:from>
    <xdr:to>
      <xdr:col>10</xdr:col>
      <xdr:colOff>276225</xdr:colOff>
      <xdr:row>20</xdr:row>
      <xdr:rowOff>157162</xdr:rowOff>
    </xdr:to>
    <xdr:graphicFrame macro="">
      <xdr:nvGraphicFramePr>
        <xdr:cNvPr id="2" name="Chart 1">
          <a:extLst>
            <a:ext uri="{FF2B5EF4-FFF2-40B4-BE49-F238E27FC236}">
              <a16:creationId xmlns:a16="http://schemas.microsoft.com/office/drawing/2014/main" id="{8C983B3F-271C-5AC8-349C-2479B2145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08.865448842589" createdVersion="8" refreshedVersion="8" minRefreshableVersion="3" recordCount="100" xr:uid="{F00A7966-F9DE-4408-999F-70FA5F345E84}">
  <cacheSource type="worksheet">
    <worksheetSource name="Table1"/>
  </cacheSource>
  <cacheFields count="19">
    <cacheField name="Medicine ID" numFmtId="0">
      <sharedItems/>
    </cacheField>
    <cacheField name="Medicine Name" numFmtId="49">
      <sharedItems count="15">
        <s v="Paracetamol"/>
        <s v="Amoxicillin"/>
        <s v="Metformin"/>
        <s v="Cetirizine"/>
        <s v="Ibuprofen"/>
        <s v="Omeprazole"/>
        <s v="Aspirin"/>
        <s v="Azithromycin"/>
        <s v="Insulin"/>
        <s v="Pantoprazole"/>
        <s v="Loratadine"/>
        <s v="Diclofenac"/>
        <s v="Hydroxychloroquine"/>
        <s v="Doxycycline"/>
        <s v="Atorvastatin"/>
      </sharedItems>
    </cacheField>
    <cacheField name="Company Name" numFmtId="49">
      <sharedItems count="8">
        <s v="MedLife Pharma"/>
        <s v="HealthCare Ltd"/>
        <s v="GlucoWell Corp"/>
        <s v="AllergyFree Inc"/>
        <s v="PainRelief Pharma"/>
        <s v="StomachCare Ltd"/>
        <s v="CardioSafe Pharma"/>
        <s v="Antibiotics Plus"/>
      </sharedItems>
    </cacheField>
    <cacheField name="Patient Name" numFmtId="49">
      <sharedItems/>
    </cacheField>
    <cacheField name="Age" numFmtId="1">
      <sharedItems containsSemiMixedTypes="0" containsString="0" containsNumber="1" containsInteger="1" minValue="19" maxValue="60" count="42">
        <n v="32"/>
        <n v="27"/>
        <n v="45"/>
        <n v="19"/>
        <n v="38"/>
        <n v="50"/>
        <n v="60"/>
        <n v="22"/>
        <n v="55"/>
        <n v="29"/>
        <n v="34"/>
        <n v="41"/>
        <n v="47"/>
        <n v="26"/>
        <n v="52"/>
        <n v="36"/>
        <n v="40"/>
        <n v="49"/>
        <n v="23"/>
        <n v="31"/>
        <n v="54"/>
        <n v="48"/>
        <n v="28"/>
        <n v="53"/>
        <n v="37"/>
        <n v="42"/>
        <n v="46"/>
        <n v="39"/>
        <n v="25"/>
        <n v="51"/>
        <n v="35"/>
        <n v="21"/>
        <n v="33"/>
        <n v="58"/>
        <n v="24"/>
        <n v="56"/>
        <n v="30"/>
        <n v="43"/>
        <n v="44"/>
        <n v="20"/>
        <n v="59"/>
        <n v="57"/>
      </sharedItems>
      <fieldGroup base="4">
        <rangePr autoStart="0" autoEnd="0" startNum="0" endNum="60" groupInterval="20"/>
        <groupItems count="5">
          <s v="&lt;0"/>
          <s v="0-19"/>
          <s v="20-39"/>
          <s v="40-60"/>
          <s v="&gt;60"/>
        </groupItems>
      </fieldGroup>
    </cacheField>
    <cacheField name="Age Group" numFmtId="1">
      <sharedItems count="5">
        <s v="Adult"/>
        <s v="Teenager"/>
        <s v="Senior"/>
        <s v="tenager" u="1"/>
        <s v="Old" u="1"/>
      </sharedItems>
    </cacheField>
    <cacheField name="Sex" numFmtId="49">
      <sharedItems count="2">
        <s v="M"/>
        <s v="F"/>
      </sharedItems>
    </cacheField>
    <cacheField name="Disease" numFmtId="49">
      <sharedItems count="10">
        <s v="Fever"/>
        <s v="Infection"/>
        <s v="Diabetes"/>
        <s v="Allergy"/>
        <s v="Headache"/>
        <s v="Acidity"/>
        <s v="Heart Disease"/>
        <s v="Arthritis"/>
        <s v="Malaria"/>
        <s v="Cholesterol"/>
      </sharedItems>
    </cacheField>
    <cacheField name="Original Price" numFmtId="1">
      <sharedItems containsSemiMixedTypes="0" containsString="0" containsNumber="1" containsInteger="1" minValue="50" maxValue="412"/>
    </cacheField>
    <cacheField name="Total Cost" numFmtId="1">
      <sharedItems containsSemiMixedTypes="0" containsString="0" containsNumber="1" containsInteger="1" minValue="60" maxValue="492"/>
    </cacheField>
    <cacheField name="Profit" numFmtId="1">
      <sharedItems containsSemiMixedTypes="0" containsString="0" containsNumber="1" containsInteger="1" minValue="10" maxValue="80"/>
    </cacheField>
    <cacheField name="Area" numFmtId="49">
      <sharedItems/>
    </cacheField>
    <cacheField name="City" numFmtId="49">
      <sharedItems count="14">
        <s v="Pune"/>
        <s v="Mumbai"/>
        <s v="Bengaluru"/>
        <s v="Delhi"/>
        <s v="Kolkata"/>
        <s v="Kochi"/>
        <s v="Chandigarh"/>
        <s v="Hyderabad"/>
        <s v="Jaipur"/>
        <s v="Lucknow"/>
        <s v="Ahmedabad"/>
        <s v="Chennai"/>
        <s v="Navi Mumbai"/>
        <s v="Patna"/>
      </sharedItems>
    </cacheField>
    <cacheField name="State" numFmtId="49">
      <sharedItems count="12">
        <s v="Maharashtra"/>
        <s v="Karnataka"/>
        <s v="Delhi"/>
        <s v="West Bengal"/>
        <s v="Kerala"/>
        <s v="Punjab"/>
        <s v="Telangana"/>
        <s v="Rajasthan"/>
        <s v="Uttar Pradesh"/>
        <s v="Gujarat"/>
        <s v="Tamil Nadu"/>
        <s v="Bihar"/>
      </sharedItems>
    </cacheField>
    <cacheField name="Country" numFmtId="49">
      <sharedItems/>
    </cacheField>
    <cacheField name="Date" numFmtId="166">
      <sharedItems containsSemiMixedTypes="0" containsNonDate="0" containsDate="1" containsString="0" minDate="2023-01-01T00:00:00" maxDate="2023-12-28T00:00:00" count="148">
        <d v="2023-07-15T00:00:00"/>
        <d v="2023-09-12T00:00:00"/>
        <d v="2023-09-27T00:00:00"/>
        <d v="2023-12-05T00:00:00"/>
        <d v="2023-06-08T00:00:00"/>
        <d v="2023-12-08T00:00:00"/>
        <d v="2023-03-19T00:00:00"/>
        <d v="2023-06-13T00:00:00"/>
        <d v="2023-03-04T00:00:00"/>
        <d v="2023-07-27T00:00:00"/>
        <d v="2023-02-22T00:00:00"/>
        <d v="2023-01-09T00:00:00"/>
        <d v="2023-11-01T00:00:00"/>
        <d v="2023-04-18T00:00:00"/>
        <d v="2023-03-15T00:00:00"/>
        <d v="2023-03-02T00:00:00"/>
        <d v="2023-05-22T00:00:00"/>
        <d v="2023-10-20T00:00:00"/>
        <d v="2023-07-04T00:00:00"/>
        <d v="2023-08-16T00:00:00"/>
        <d v="2023-06-07T00:00:00"/>
        <d v="2023-04-25T00:00:00"/>
        <d v="2023-07-13T00:00:00"/>
        <d v="2023-09-02T00:00:00"/>
        <d v="2023-05-26T00:00:00"/>
        <d v="2023-06-10T00:00:00"/>
        <d v="2023-10-22T00:00:00"/>
        <d v="2023-10-04T00:00:00"/>
        <d v="2023-05-01T00:00:00"/>
        <d v="2023-08-12T00:00:00"/>
        <d v="2023-03-10T00:00:00"/>
        <d v="2023-03-22T00:00:00"/>
        <d v="2023-08-25T00:00:00"/>
        <d v="2023-10-13T00:00:00"/>
        <d v="2023-02-17T00:00:00"/>
        <d v="2023-04-04T00:00:00"/>
        <d v="2023-01-01T00:00:00"/>
        <d v="2023-06-16T00:00:00"/>
        <d v="2023-12-10T00:00:00"/>
        <d v="2023-08-05T00:00:00"/>
        <d v="2023-11-03T00:00:00"/>
        <d v="2023-07-03T00:00:00"/>
        <d v="2023-01-10T00:00:00"/>
        <d v="2023-02-19T00:00:00"/>
        <d v="2023-04-16T00:00:00"/>
        <d v="2023-05-25T00:00:00"/>
        <d v="2023-08-01T00:00:00"/>
        <d v="2023-02-21T00:00:00"/>
        <d v="2023-02-15T00:00:00"/>
        <d v="2023-12-27T00:00:00"/>
        <d v="2023-01-02T00:00:00"/>
        <d v="2023-12-24T00:00:00"/>
        <d v="2023-08-21T00:00:00"/>
        <d v="2023-10-16T00:00:00"/>
        <d v="2023-04-07T00:00:00"/>
        <d v="2023-12-06T00:00:00"/>
        <d v="2023-01-23T00:00:00"/>
        <d v="2023-05-09T00:00:00"/>
        <d v="2023-12-18T00:00:00"/>
        <d v="2023-05-06T00:00:00"/>
        <d v="2023-02-12T00:00:00"/>
        <d v="2023-01-11T00:00:00"/>
        <d v="2023-03-27T00:00:00"/>
        <d v="2023-12-12T00:00:00"/>
        <d v="2023-02-18T00:00:00"/>
        <d v="2023-11-21T00:00:00"/>
        <d v="2023-04-17T00:00:00"/>
        <d v="2023-09-07T00:00:00"/>
        <d v="2023-06-14T00:00:00"/>
        <d v="2023-03-14T00:00:00"/>
        <d v="2023-07-06T00:00:00"/>
        <d v="2023-03-07T00:00:00"/>
        <d v="2023-01-14T00:00:00"/>
        <d v="2023-11-06T00:00:00"/>
        <d v="2023-02-20T00:00:00"/>
        <d v="2023-07-14T00:00:00"/>
        <d v="2023-10-01T00:00:00"/>
        <d v="2023-05-10T00:00:00"/>
        <d v="2023-11-16T00:00:00"/>
        <d v="2023-12-25T00:00:00"/>
        <d v="2023-05-28T00:00:00"/>
        <d v="2023-12-01T00:00:00" u="1"/>
        <d v="2023-08-03T00:00:00" u="1"/>
        <d v="2023-11-09T00:00:00" u="1"/>
        <d v="2023-03-21T00:00:00" u="1"/>
        <d v="2023-01-07T00:00:00" u="1"/>
        <d v="2023-11-10T00:00:00" u="1"/>
        <d v="2023-09-20T00:00:00" u="1"/>
        <d v="2023-05-19T00:00:00" u="1"/>
        <d v="2023-02-05T00:00:00" u="1"/>
        <d v="2023-03-16T00:00:00" u="1"/>
        <d v="2023-09-01T00:00:00" u="1"/>
        <d v="2023-02-23T00:00:00" u="1"/>
        <d v="2023-12-02T00:00:00" u="1"/>
        <d v="2023-05-12T00:00:00" u="1"/>
        <d v="2023-12-13T00:00:00" u="1"/>
        <d v="2023-09-18T00:00:00" u="1"/>
        <d v="2023-04-09T00:00:00" u="1"/>
        <d v="2023-09-26T00:00:00" u="1"/>
        <d v="2023-01-12T00:00:00" u="1"/>
        <d v="2023-05-23T00:00:00" u="1"/>
        <d v="2023-10-21T00:00:00" u="1"/>
        <d v="2023-11-08T00:00:00" u="1"/>
        <d v="2023-09-05T00:00:00" u="1"/>
        <d v="2023-07-28T00:00:00" u="1"/>
        <d v="2023-08-20T00:00:00" u="1"/>
        <d v="2023-10-12T00:00:00" u="1"/>
        <d v="2023-03-09T00:00:00" u="1"/>
        <d v="2023-02-26T00:00:00" u="1"/>
        <d v="2023-02-07T00:00:00" u="1"/>
        <d v="2023-04-19T00:00:00" u="1"/>
        <d v="2023-03-12T00:00:00" u="1"/>
        <d v="2023-03-13T00:00:00" u="1"/>
        <d v="2023-06-18T00:00:00" u="1"/>
        <d v="2023-11-26T00:00:00" u="1"/>
        <d v="2023-09-13T00:00:00" u="1"/>
        <d v="2023-01-06T00:00:00" u="1"/>
        <d v="2023-01-08T00:00:00" u="1"/>
        <d v="2023-05-07T00:00:00" u="1"/>
        <d v="2023-10-23T00:00:00" u="1"/>
        <d v="2023-05-13T00:00:00" u="1"/>
        <d v="2023-01-25T00:00:00" u="1"/>
        <d v="2023-12-07T00:00:00" u="1"/>
        <d v="2023-11-22T00:00:00" u="1"/>
        <d v="2023-10-09T00:00:00" u="1"/>
        <d v="2023-09-25T00:00:00" u="1"/>
        <d v="2023-02-04T00:00:00" u="1"/>
        <d v="2023-04-24T00:00:00" u="1"/>
        <d v="2023-11-05T00:00:00" u="1"/>
        <d v="2023-02-14T00:00:00" u="1"/>
        <d v="2023-04-28T00:00:00" u="1"/>
        <d v="2023-09-15T00:00:00" u="1"/>
        <d v="2023-12-17T00:00:00" u="1"/>
        <d v="2023-07-18T00:00:00" u="1"/>
        <d v="2023-07-22T00:00:00" u="1"/>
        <d v="2023-09-21T00:00:00" u="1"/>
        <d v="2023-12-20T00:00:00" u="1"/>
        <d v="2023-06-15T00:00:00" u="1"/>
        <d v="2023-08-10T00:00:00" u="1"/>
        <d v="2023-09-23T00:00:00" u="1"/>
        <d v="2023-08-09T00:00:00" u="1"/>
        <d v="2023-05-02T00:00:00" u="1"/>
        <d v="2023-04-21T00:00:00" u="1"/>
        <d v="2023-03-06T00:00:00" u="1"/>
        <d v="2023-07-11T00:00:00" u="1"/>
        <d v="2023-10-24T00:00:00" u="1"/>
        <d v="2023-01-24T00:00:00" u="1"/>
        <d v="2023-10-14T00:00:00" u="1"/>
      </sharedItems>
      <fieldGroup par="18"/>
    </cacheField>
    <cacheField name="% profit" numFmtId="10">
      <sharedItems containsSemiMixedTypes="0" containsString="0" containsNumber="1" minValue="0.15822784810126583" maxValue="0.25"/>
    </cacheField>
    <cacheField name="Days (Date)" numFmtId="0" databaseField="0">
      <fieldGroup base="15">
        <rangePr groupBy="days" startDate="2023-01-01T00:00:00" endDate="2023-12-28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8-12-2023"/>
        </groupItems>
      </fieldGroup>
    </cacheField>
    <cacheField name="Months (Date)" numFmtId="0" databaseField="0">
      <fieldGroup base="15">
        <rangePr groupBy="months" startDate="2023-01-01T00:00:00" endDate="2023-12-28T00:00:00"/>
        <groupItems count="14">
          <s v="&lt;01-01-2023"/>
          <s v="Jan"/>
          <s v="Feb"/>
          <s v="Mar"/>
          <s v="Apr"/>
          <s v="May"/>
          <s v="Jun"/>
          <s v="Jul"/>
          <s v="Aug"/>
          <s v="Sep"/>
          <s v="Oct"/>
          <s v="Nov"/>
          <s v="Dec"/>
          <s v="&gt;28-12-2023"/>
        </groupItems>
      </fieldGroup>
    </cacheField>
  </cacheFields>
  <extLst>
    <ext xmlns:x14="http://schemas.microsoft.com/office/spreadsheetml/2009/9/main" uri="{725AE2AE-9491-48be-B2B4-4EB974FC3084}">
      <x14:pivotCacheDefinition pivotCacheId="2917273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M001"/>
    <x v="0"/>
    <x v="0"/>
    <s v="Rahul Sharma"/>
    <x v="0"/>
    <x v="0"/>
    <x v="0"/>
    <x v="0"/>
    <n v="50"/>
    <n v="60"/>
    <n v="10"/>
    <s v="Kothrud"/>
    <x v="0"/>
    <x v="0"/>
    <s v="India"/>
    <x v="0"/>
    <n v="0.16666666666666666"/>
  </r>
  <r>
    <s v="M002"/>
    <x v="1"/>
    <x v="1"/>
    <s v="Priya Desai"/>
    <x v="1"/>
    <x v="0"/>
    <x v="1"/>
    <x v="1"/>
    <n v="120"/>
    <n v="150"/>
    <n v="30"/>
    <s v="Andheri"/>
    <x v="1"/>
    <x v="0"/>
    <s v="India"/>
    <x v="1"/>
    <n v="0.2"/>
  </r>
  <r>
    <s v="M003"/>
    <x v="2"/>
    <x v="2"/>
    <s v="Anil Patil"/>
    <x v="2"/>
    <x v="0"/>
    <x v="0"/>
    <x v="2"/>
    <n v="200"/>
    <n v="250"/>
    <n v="50"/>
    <s v="Baner"/>
    <x v="0"/>
    <x v="0"/>
    <s v="India"/>
    <x v="2"/>
    <n v="0.2"/>
  </r>
  <r>
    <s v="M004"/>
    <x v="3"/>
    <x v="3"/>
    <s v="Sneha Joshi"/>
    <x v="3"/>
    <x v="1"/>
    <x v="1"/>
    <x v="3"/>
    <n v="80"/>
    <n v="100"/>
    <n v="20"/>
    <s v="MG Road"/>
    <x v="2"/>
    <x v="1"/>
    <s v="India"/>
    <x v="3"/>
    <n v="0.2"/>
  </r>
  <r>
    <s v="M005"/>
    <x v="4"/>
    <x v="4"/>
    <s v="Karan Mehta"/>
    <x v="4"/>
    <x v="0"/>
    <x v="0"/>
    <x v="4"/>
    <n v="90"/>
    <n v="110"/>
    <n v="20"/>
    <s v="Connaught"/>
    <x v="3"/>
    <x v="2"/>
    <s v="India"/>
    <x v="4"/>
    <n v="0.18181818181818182"/>
  </r>
  <r>
    <s v="M006"/>
    <x v="5"/>
    <x v="5"/>
    <s v="harish Jain"/>
    <x v="5"/>
    <x v="0"/>
    <x v="1"/>
    <x v="5"/>
    <n v="150"/>
    <n v="180"/>
    <n v="30"/>
    <s v="Salt Lake"/>
    <x v="4"/>
    <x v="3"/>
    <s v="India"/>
    <x v="5"/>
    <n v="0.16666666666666666"/>
  </r>
  <r>
    <s v="M007"/>
    <x v="6"/>
    <x v="6"/>
    <s v="Vivek Nair"/>
    <x v="6"/>
    <x v="2"/>
    <x v="0"/>
    <x v="6"/>
    <n v="250"/>
    <n v="300"/>
    <n v="50"/>
    <s v="Aluva"/>
    <x v="5"/>
    <x v="4"/>
    <s v="India"/>
    <x v="6"/>
    <n v="0.16666666666666666"/>
  </r>
  <r>
    <s v="M008"/>
    <x v="7"/>
    <x v="7"/>
    <s v="Ritu Malhotra"/>
    <x v="7"/>
    <x v="0"/>
    <x v="1"/>
    <x v="1"/>
    <n v="180"/>
    <n v="220"/>
    <n v="40"/>
    <s v="Sector 17"/>
    <x v="6"/>
    <x v="5"/>
    <s v="India"/>
    <x v="7"/>
    <n v="0.18181818181818182"/>
  </r>
  <r>
    <s v="M009"/>
    <x v="8"/>
    <x v="2"/>
    <s v="Suresh Kumar"/>
    <x v="8"/>
    <x v="2"/>
    <x v="0"/>
    <x v="2"/>
    <n v="400"/>
    <n v="480"/>
    <n v="80"/>
    <s v="Banjara"/>
    <x v="7"/>
    <x v="6"/>
    <s v="India"/>
    <x v="8"/>
    <n v="0.16666666666666666"/>
  </r>
  <r>
    <s v="M010"/>
    <x v="9"/>
    <x v="5"/>
    <s v="Neha Verma"/>
    <x v="9"/>
    <x v="0"/>
    <x v="1"/>
    <x v="5"/>
    <n v="160"/>
    <n v="200"/>
    <n v="40"/>
    <s v="Civil Lines"/>
    <x v="8"/>
    <x v="7"/>
    <s v="India"/>
    <x v="9"/>
    <n v="0.2"/>
  </r>
  <r>
    <s v="M011"/>
    <x v="10"/>
    <x v="3"/>
    <s v="Arjun Singh"/>
    <x v="10"/>
    <x v="0"/>
    <x v="0"/>
    <x v="3"/>
    <n v="90"/>
    <n v="120"/>
    <n v="30"/>
    <s v="Hazratganj"/>
    <x v="9"/>
    <x v="8"/>
    <s v="India"/>
    <x v="10"/>
    <n v="0.25"/>
  </r>
  <r>
    <s v="M012"/>
    <x v="11"/>
    <x v="4"/>
    <s v="Kavita Rao"/>
    <x v="11"/>
    <x v="0"/>
    <x v="1"/>
    <x v="7"/>
    <n v="220"/>
    <n v="270"/>
    <n v="50"/>
    <s v="Gandhi Nagar"/>
    <x v="10"/>
    <x v="9"/>
    <s v="India"/>
    <x v="11"/>
    <n v="0.18518518518518517"/>
  </r>
  <r>
    <s v="M013"/>
    <x v="12"/>
    <x v="0"/>
    <s v="Mohan Iyer"/>
    <x v="12"/>
    <x v="0"/>
    <x v="0"/>
    <x v="8"/>
    <n v="300"/>
    <n v="360"/>
    <n v="60"/>
    <s v="Fort"/>
    <x v="11"/>
    <x v="10"/>
    <s v="India"/>
    <x v="12"/>
    <n v="0.16666666666666666"/>
  </r>
  <r>
    <s v="M014"/>
    <x v="13"/>
    <x v="1"/>
    <s v="Pooja Shah"/>
    <x v="13"/>
    <x v="0"/>
    <x v="1"/>
    <x v="1"/>
    <n v="140"/>
    <n v="180"/>
    <n v="40"/>
    <s v="Paldi"/>
    <x v="10"/>
    <x v="9"/>
    <s v="India"/>
    <x v="13"/>
    <n v="0.22222222222222221"/>
  </r>
  <r>
    <s v="M015"/>
    <x v="14"/>
    <x v="6"/>
    <s v="Rajesh Pillai"/>
    <x v="14"/>
    <x v="2"/>
    <x v="0"/>
    <x v="9"/>
    <n v="350"/>
    <n v="420"/>
    <n v="70"/>
    <s v="Vashi"/>
    <x v="12"/>
    <x v="0"/>
    <s v="India"/>
    <x v="14"/>
    <n v="0.16666666666666666"/>
  </r>
  <r>
    <s v="M016"/>
    <x v="0"/>
    <x v="0"/>
    <s v="Sunita Kulkarni"/>
    <x v="15"/>
    <x v="0"/>
    <x v="1"/>
    <x v="0"/>
    <n v="55"/>
    <n v="70"/>
    <n v="15"/>
    <s v="Shivajinagar"/>
    <x v="0"/>
    <x v="0"/>
    <s v="India"/>
    <x v="15"/>
    <n v="0.21428571428571427"/>
  </r>
  <r>
    <s v="M017"/>
    <x v="1"/>
    <x v="1"/>
    <s v="Deepak Jha"/>
    <x v="16"/>
    <x v="0"/>
    <x v="0"/>
    <x v="1"/>
    <n v="130"/>
    <n v="160"/>
    <n v="30"/>
    <s v="Bandra"/>
    <x v="1"/>
    <x v="0"/>
    <s v="India"/>
    <x v="16"/>
    <n v="0.1875"/>
  </r>
  <r>
    <s v="M018"/>
    <x v="2"/>
    <x v="2"/>
    <s v="Geeta Menon"/>
    <x v="17"/>
    <x v="0"/>
    <x v="1"/>
    <x v="2"/>
    <n v="210"/>
    <n v="260"/>
    <n v="50"/>
    <s v="Indiranagar"/>
    <x v="2"/>
    <x v="1"/>
    <s v="India"/>
    <x v="17"/>
    <n v="0.19230769230769232"/>
  </r>
  <r>
    <s v="M019"/>
    <x v="3"/>
    <x v="3"/>
    <s v="Ajay Yadav"/>
    <x v="18"/>
    <x v="0"/>
    <x v="0"/>
    <x v="3"/>
    <n v="85"/>
    <n v="110"/>
    <n v="25"/>
    <s v="Park Street"/>
    <x v="4"/>
    <x v="3"/>
    <s v="India"/>
    <x v="18"/>
    <n v="0.22727272727272727"/>
  </r>
  <r>
    <s v="M020"/>
    <x v="4"/>
    <x v="4"/>
    <s v="Shalini Kapoor"/>
    <x v="19"/>
    <x v="0"/>
    <x v="1"/>
    <x v="4"/>
    <n v="95"/>
    <n v="120"/>
    <n v="25"/>
    <s v="Karol Bagh"/>
    <x v="3"/>
    <x v="2"/>
    <s v="India"/>
    <x v="19"/>
    <n v="0.20833333333333334"/>
  </r>
  <r>
    <s v="M021"/>
    <x v="5"/>
    <x v="5"/>
    <s v="Ramesh Singh"/>
    <x v="20"/>
    <x v="2"/>
    <x v="0"/>
    <x v="5"/>
    <n v="155"/>
    <n v="190"/>
    <n v="35"/>
    <s v="Patliputra"/>
    <x v="13"/>
    <x v="11"/>
    <s v="India"/>
    <x v="20"/>
    <n v="0.18421052631578946"/>
  </r>
  <r>
    <s v="M022"/>
    <x v="6"/>
    <x v="6"/>
    <s v="Anita George"/>
    <x v="21"/>
    <x v="0"/>
    <x v="1"/>
    <x v="6"/>
    <n v="260"/>
    <n v="310"/>
    <n v="50"/>
    <s v="Marine Drive"/>
    <x v="1"/>
    <x v="0"/>
    <s v="India"/>
    <x v="21"/>
    <n v="0.16129032258064516"/>
  </r>
  <r>
    <s v="M023"/>
    <x v="7"/>
    <x v="7"/>
    <s v="Varun Malhotra"/>
    <x v="22"/>
    <x v="0"/>
    <x v="0"/>
    <x v="1"/>
    <n v="175"/>
    <n v="215"/>
    <n v="40"/>
    <s v="Residency Road"/>
    <x v="2"/>
    <x v="1"/>
    <s v="India"/>
    <x v="20"/>
    <n v="0.18604651162790697"/>
  </r>
  <r>
    <s v="M024"/>
    <x v="8"/>
    <x v="2"/>
    <s v="Seema Reddy"/>
    <x v="23"/>
    <x v="2"/>
    <x v="1"/>
    <x v="2"/>
    <n v="390"/>
    <n v="470"/>
    <n v="80"/>
    <s v="Begumpet"/>
    <x v="7"/>
    <x v="6"/>
    <s v="India"/>
    <x v="22"/>
    <n v="0.1702127659574468"/>
  </r>
  <r>
    <s v="M025"/>
    <x v="9"/>
    <x v="5"/>
    <s v="Alok Mishra"/>
    <x v="24"/>
    <x v="0"/>
    <x v="0"/>
    <x v="5"/>
    <n v="165"/>
    <n v="205"/>
    <n v="40"/>
    <s v="Lalbagh"/>
    <x v="9"/>
    <x v="8"/>
    <s v="India"/>
    <x v="23"/>
    <n v="0.1951219512195122"/>
  </r>
  <r>
    <s v="M026"/>
    <x v="10"/>
    <x v="3"/>
    <s v="Neeraj Jain"/>
    <x v="25"/>
    <x v="0"/>
    <x v="0"/>
    <x v="3"/>
    <n v="95"/>
    <n v="125"/>
    <n v="30"/>
    <s v="Navrangpura"/>
    <x v="10"/>
    <x v="9"/>
    <s v="India"/>
    <x v="24"/>
    <n v="0.24"/>
  </r>
  <r>
    <s v="M027"/>
    <x v="11"/>
    <x v="4"/>
    <s v="Rekha Sinha"/>
    <x v="26"/>
    <x v="0"/>
    <x v="1"/>
    <x v="7"/>
    <n v="230"/>
    <n v="280"/>
    <n v="50"/>
    <s v="Adyar"/>
    <x v="11"/>
    <x v="10"/>
    <s v="India"/>
    <x v="25"/>
    <n v="0.17857142857142858"/>
  </r>
  <r>
    <s v="M028"/>
    <x v="12"/>
    <x v="0"/>
    <s v="Santosh Kumar"/>
    <x v="27"/>
    <x v="0"/>
    <x v="0"/>
    <x v="8"/>
    <n v="310"/>
    <n v="370"/>
    <n v="60"/>
    <s v="Anna Nagar"/>
    <x v="11"/>
    <x v="10"/>
    <s v="India"/>
    <x v="23"/>
    <n v="0.16216216216216217"/>
  </r>
  <r>
    <s v="M029"/>
    <x v="13"/>
    <x v="1"/>
    <s v="Megha Patel"/>
    <x v="28"/>
    <x v="0"/>
    <x v="1"/>
    <x v="1"/>
    <n v="145"/>
    <n v="185"/>
    <n v="40"/>
    <s v="Satellite"/>
    <x v="10"/>
    <x v="9"/>
    <s v="India"/>
    <x v="26"/>
    <n v="0.21621621621621623"/>
  </r>
  <r>
    <s v="M030"/>
    <x v="14"/>
    <x v="6"/>
    <s v="Prakash Rao"/>
    <x v="29"/>
    <x v="2"/>
    <x v="0"/>
    <x v="9"/>
    <n v="355"/>
    <n v="425"/>
    <n v="70"/>
    <s v="Whitefield"/>
    <x v="2"/>
    <x v="1"/>
    <s v="India"/>
    <x v="27"/>
    <n v="0.16470588235294117"/>
  </r>
  <r>
    <s v="M031"/>
    <x v="0"/>
    <x v="0"/>
    <s v="Anjali Sharma"/>
    <x v="22"/>
    <x v="0"/>
    <x v="1"/>
    <x v="0"/>
    <n v="60"/>
    <n v="75"/>
    <n v="15"/>
    <s v="Camp"/>
    <x v="0"/>
    <x v="0"/>
    <s v="India"/>
    <x v="28"/>
    <n v="0.2"/>
  </r>
  <r>
    <s v="M032"/>
    <x v="1"/>
    <x v="1"/>
    <s v="Rohit Desai"/>
    <x v="30"/>
    <x v="0"/>
    <x v="0"/>
    <x v="1"/>
    <n v="125"/>
    <n v="155"/>
    <n v="30"/>
    <s v="Dadar"/>
    <x v="1"/>
    <x v="0"/>
    <s v="India"/>
    <x v="29"/>
    <n v="0.19354838709677419"/>
  </r>
  <r>
    <s v="M033"/>
    <x v="2"/>
    <x v="2"/>
    <s v="Seema Patil"/>
    <x v="5"/>
    <x v="0"/>
    <x v="1"/>
    <x v="2"/>
    <n v="205"/>
    <n v="255"/>
    <n v="50"/>
    <s v="Jayanagar"/>
    <x v="2"/>
    <x v="1"/>
    <s v="India"/>
    <x v="30"/>
    <n v="0.19607843137254902"/>
  </r>
  <r>
    <s v="M034"/>
    <x v="3"/>
    <x v="3"/>
    <s v="Vikas Joshi"/>
    <x v="31"/>
    <x v="0"/>
    <x v="0"/>
    <x v="3"/>
    <n v="82"/>
    <n v="105"/>
    <n v="23"/>
    <s v="Esplanade"/>
    <x v="4"/>
    <x v="3"/>
    <s v="India"/>
    <x v="30"/>
    <n v="0.21904761904761905"/>
  </r>
  <r>
    <s v="M035"/>
    <x v="4"/>
    <x v="4"/>
    <s v="Neha Mehta"/>
    <x v="32"/>
    <x v="0"/>
    <x v="1"/>
    <x v="4"/>
    <n v="92"/>
    <n v="115"/>
    <n v="23"/>
    <s v="Lajpat Nagar"/>
    <x v="3"/>
    <x v="2"/>
    <s v="India"/>
    <x v="4"/>
    <n v="0.2"/>
  </r>
  <r>
    <s v="M036"/>
    <x v="5"/>
    <x v="5"/>
    <s v="Arvind Gupta"/>
    <x v="12"/>
    <x v="0"/>
    <x v="0"/>
    <x v="5"/>
    <n v="152"/>
    <n v="185"/>
    <n v="33"/>
    <s v="New Town"/>
    <x v="4"/>
    <x v="3"/>
    <s v="India"/>
    <x v="7"/>
    <n v="0.17837837837837839"/>
  </r>
  <r>
    <s v="M037"/>
    <x v="6"/>
    <x v="6"/>
    <s v="Divya Nair"/>
    <x v="33"/>
    <x v="2"/>
    <x v="1"/>
    <x v="6"/>
    <n v="255"/>
    <n v="305"/>
    <n v="50"/>
    <s v="Edappally"/>
    <x v="5"/>
    <x v="4"/>
    <s v="India"/>
    <x v="31"/>
    <n v="0.16393442622950818"/>
  </r>
  <r>
    <s v="M038"/>
    <x v="7"/>
    <x v="7"/>
    <s v="Sachin Malhotra"/>
    <x v="34"/>
    <x v="0"/>
    <x v="0"/>
    <x v="1"/>
    <n v="185"/>
    <n v="225"/>
    <n v="40"/>
    <s v="Manimajra"/>
    <x v="6"/>
    <x v="5"/>
    <s v="India"/>
    <x v="32"/>
    <n v="0.17777777777777778"/>
  </r>
  <r>
    <s v="M039"/>
    <x v="8"/>
    <x v="2"/>
    <s v="Rekha Kumar"/>
    <x v="35"/>
    <x v="2"/>
    <x v="1"/>
    <x v="2"/>
    <n v="405"/>
    <n v="485"/>
    <n v="80"/>
    <s v="Ameerpet"/>
    <x v="7"/>
    <x v="6"/>
    <s v="India"/>
    <x v="33"/>
    <n v="0.16494845360824742"/>
  </r>
  <r>
    <s v="M040"/>
    <x v="9"/>
    <x v="5"/>
    <s v="Alka Verma"/>
    <x v="36"/>
    <x v="0"/>
    <x v="1"/>
    <x v="5"/>
    <n v="162"/>
    <n v="202"/>
    <n v="40"/>
    <s v="Malviya Nagar"/>
    <x v="8"/>
    <x v="7"/>
    <s v="India"/>
    <x v="34"/>
    <n v="0.19801980198019803"/>
  </r>
  <r>
    <s v="M041"/>
    <x v="10"/>
    <x v="3"/>
    <s v="Sameer Singh"/>
    <x v="15"/>
    <x v="0"/>
    <x v="0"/>
    <x v="3"/>
    <n v="92"/>
    <n v="122"/>
    <n v="30"/>
    <s v="Charbagh"/>
    <x v="9"/>
    <x v="8"/>
    <s v="India"/>
    <x v="23"/>
    <n v="0.24590163934426229"/>
  </r>
  <r>
    <s v="M042"/>
    <x v="11"/>
    <x v="4"/>
    <s v="Manisha Rao"/>
    <x v="37"/>
    <x v="0"/>
    <x v="1"/>
    <x v="7"/>
    <n v="225"/>
    <n v="275"/>
    <n v="50"/>
    <s v="Ellis Bridge"/>
    <x v="10"/>
    <x v="9"/>
    <s v="India"/>
    <x v="35"/>
    <n v="0.18181818181818182"/>
  </r>
  <r>
    <s v="M043"/>
    <x v="12"/>
    <x v="0"/>
    <s v="Suresh Iyer"/>
    <x v="21"/>
    <x v="0"/>
    <x v="0"/>
    <x v="8"/>
    <n v="305"/>
    <n v="365"/>
    <n v="60"/>
    <s v="T Nagar"/>
    <x v="11"/>
    <x v="10"/>
    <s v="India"/>
    <x v="36"/>
    <n v="0.16438356164383561"/>
  </r>
  <r>
    <s v="M044"/>
    <x v="13"/>
    <x v="1"/>
    <s v="Shweta Shah"/>
    <x v="1"/>
    <x v="0"/>
    <x v="1"/>
    <x v="1"/>
    <n v="142"/>
    <n v="182"/>
    <n v="40"/>
    <s v="Naranpura"/>
    <x v="10"/>
    <x v="9"/>
    <s v="India"/>
    <x v="37"/>
    <n v="0.21978021978021978"/>
  </r>
  <r>
    <s v="M045"/>
    <x v="14"/>
    <x v="6"/>
    <s v="Deepa Pillai"/>
    <x v="23"/>
    <x v="2"/>
    <x v="1"/>
    <x v="9"/>
    <n v="352"/>
    <n v="422"/>
    <n v="70"/>
    <s v="Panvel"/>
    <x v="12"/>
    <x v="0"/>
    <s v="India"/>
    <x v="8"/>
    <n v="0.16587677725118483"/>
  </r>
  <r>
    <s v="M046"/>
    <x v="0"/>
    <x v="0"/>
    <s v="Rajiv Kulkarni"/>
    <x v="27"/>
    <x v="0"/>
    <x v="0"/>
    <x v="0"/>
    <n v="58"/>
    <n v="73"/>
    <n v="15"/>
    <s v="Hadapsar"/>
    <x v="0"/>
    <x v="0"/>
    <s v="India"/>
    <x v="38"/>
    <n v="0.20547945205479451"/>
  </r>
  <r>
    <s v="M047"/>
    <x v="1"/>
    <x v="1"/>
    <s v="Meera Jha"/>
    <x v="11"/>
    <x v="0"/>
    <x v="1"/>
    <x v="1"/>
    <n v="132"/>
    <n v="162"/>
    <n v="30"/>
    <s v="Khar"/>
    <x v="1"/>
    <x v="0"/>
    <s v="India"/>
    <x v="39"/>
    <n v="0.18518518518518517"/>
  </r>
  <r>
    <s v="M048"/>
    <x v="2"/>
    <x v="2"/>
    <s v="Pradeep Menon"/>
    <x v="5"/>
    <x v="0"/>
    <x v="0"/>
    <x v="2"/>
    <n v="212"/>
    <n v="262"/>
    <n v="50"/>
    <s v="HSR Layout"/>
    <x v="2"/>
    <x v="1"/>
    <s v="India"/>
    <x v="40"/>
    <n v="0.19083969465648856"/>
  </r>
  <r>
    <s v="M049"/>
    <x v="3"/>
    <x v="3"/>
    <s v="Anita Yadav"/>
    <x v="7"/>
    <x v="0"/>
    <x v="1"/>
    <x v="3"/>
    <n v="87"/>
    <n v="112"/>
    <n v="25"/>
    <s v="Ballygunge"/>
    <x v="4"/>
    <x v="3"/>
    <s v="India"/>
    <x v="41"/>
    <n v="0.22321428571428573"/>
  </r>
  <r>
    <s v="M050"/>
    <x v="4"/>
    <x v="4"/>
    <s v="Arun Kapoor"/>
    <x v="10"/>
    <x v="0"/>
    <x v="0"/>
    <x v="4"/>
    <n v="97"/>
    <n v="122"/>
    <n v="25"/>
    <s v="Saket"/>
    <x v="3"/>
    <x v="2"/>
    <s v="India"/>
    <x v="42"/>
    <n v="0.20491803278688525"/>
  </r>
  <r>
    <s v="M051"/>
    <x v="5"/>
    <x v="5"/>
    <s v="Geeta Singh"/>
    <x v="14"/>
    <x v="2"/>
    <x v="1"/>
    <x v="5"/>
    <n v="157"/>
    <n v="192"/>
    <n v="35"/>
    <s v="Kankarbagh"/>
    <x v="13"/>
    <x v="11"/>
    <s v="India"/>
    <x v="43"/>
    <n v="0.18229166666666666"/>
  </r>
  <r>
    <s v="M052"/>
    <x v="6"/>
    <x v="6"/>
    <s v="Ramesh George"/>
    <x v="17"/>
    <x v="0"/>
    <x v="0"/>
    <x v="6"/>
    <n v="265"/>
    <n v="315"/>
    <n v="50"/>
    <s v="Worli"/>
    <x v="1"/>
    <x v="0"/>
    <s v="India"/>
    <x v="44"/>
    <n v="0.15873015873015872"/>
  </r>
  <r>
    <s v="M053"/>
    <x v="7"/>
    <x v="7"/>
    <s v="Anjali Malhotra"/>
    <x v="9"/>
    <x v="0"/>
    <x v="1"/>
    <x v="1"/>
    <n v="178"/>
    <n v="218"/>
    <n v="40"/>
    <s v="MG Road"/>
    <x v="2"/>
    <x v="1"/>
    <s v="India"/>
    <x v="26"/>
    <n v="0.1834862385321101"/>
  </r>
  <r>
    <s v="M054"/>
    <x v="8"/>
    <x v="2"/>
    <s v="Vinod Reddy"/>
    <x v="20"/>
    <x v="2"/>
    <x v="0"/>
    <x v="2"/>
    <n v="395"/>
    <n v="475"/>
    <n v="80"/>
    <s v="Secunderabad"/>
    <x v="7"/>
    <x v="6"/>
    <s v="India"/>
    <x v="45"/>
    <n v="0.16842105263157894"/>
  </r>
  <r>
    <s v="M055"/>
    <x v="9"/>
    <x v="5"/>
    <s v="Shreya Mishra"/>
    <x v="4"/>
    <x v="0"/>
    <x v="1"/>
    <x v="5"/>
    <n v="168"/>
    <n v="208"/>
    <n v="40"/>
    <s v="Alambagh"/>
    <x v="9"/>
    <x v="8"/>
    <s v="India"/>
    <x v="46"/>
    <n v="0.19230769230769232"/>
  </r>
  <r>
    <s v="M056"/>
    <x v="10"/>
    <x v="3"/>
    <s v="Harish Jain"/>
    <x v="38"/>
    <x v="0"/>
    <x v="0"/>
    <x v="3"/>
    <n v="97"/>
    <n v="127"/>
    <n v="30"/>
    <s v="Maninagar"/>
    <x v="10"/>
    <x v="9"/>
    <s v="India"/>
    <x v="9"/>
    <n v="0.23622047244094488"/>
  </r>
  <r>
    <s v="M057"/>
    <x v="11"/>
    <x v="4"/>
    <s v="Leela Sinha"/>
    <x v="12"/>
    <x v="0"/>
    <x v="1"/>
    <x v="7"/>
    <n v="235"/>
    <n v="285"/>
    <n v="50"/>
    <s v="Velachery"/>
    <x v="11"/>
    <x v="10"/>
    <s v="India"/>
    <x v="47"/>
    <n v="0.17543859649122806"/>
  </r>
  <r>
    <s v="M058"/>
    <x v="12"/>
    <x v="0"/>
    <s v="Ajay Kumar"/>
    <x v="16"/>
    <x v="0"/>
    <x v="0"/>
    <x v="8"/>
    <n v="315"/>
    <n v="375"/>
    <n v="60"/>
    <s v="Guindy"/>
    <x v="11"/>
    <x v="10"/>
    <s v="India"/>
    <x v="48"/>
    <n v="0.16"/>
  </r>
  <r>
    <s v="M059"/>
    <x v="13"/>
    <x v="1"/>
    <s v="Ritika Patel"/>
    <x v="13"/>
    <x v="0"/>
    <x v="1"/>
    <x v="1"/>
    <n v="147"/>
    <n v="187"/>
    <n v="40"/>
    <s v="Bopal"/>
    <x v="10"/>
    <x v="9"/>
    <s v="India"/>
    <x v="49"/>
    <n v="0.21390374331550802"/>
  </r>
  <r>
    <s v="M060"/>
    <x v="14"/>
    <x v="6"/>
    <s v="Sanjay Rao"/>
    <x v="14"/>
    <x v="2"/>
    <x v="0"/>
    <x v="9"/>
    <n v="358"/>
    <n v="428"/>
    <n v="70"/>
    <s v="Electronic City"/>
    <x v="2"/>
    <x v="1"/>
    <s v="India"/>
    <x v="50"/>
    <n v="0.16355140186915887"/>
  </r>
  <r>
    <s v="M061"/>
    <x v="0"/>
    <x v="0"/>
    <s v="Anita Sharma"/>
    <x v="9"/>
    <x v="0"/>
    <x v="1"/>
    <x v="0"/>
    <n v="62"/>
    <n v="77"/>
    <n v="15"/>
    <s v="Camp"/>
    <x v="0"/>
    <x v="0"/>
    <s v="India"/>
    <x v="51"/>
    <n v="0.19480519480519481"/>
  </r>
  <r>
    <s v="M062"/>
    <x v="1"/>
    <x v="1"/>
    <s v="Rajesh Desai"/>
    <x v="15"/>
    <x v="0"/>
    <x v="0"/>
    <x v="1"/>
    <n v="128"/>
    <n v="158"/>
    <n v="30"/>
    <s v="Matunga"/>
    <x v="1"/>
    <x v="0"/>
    <s v="India"/>
    <x v="52"/>
    <n v="0.189873417721519"/>
  </r>
  <r>
    <s v="M063"/>
    <x v="2"/>
    <x v="2"/>
    <s v="Meena Patil"/>
    <x v="29"/>
    <x v="2"/>
    <x v="1"/>
    <x v="2"/>
    <n v="208"/>
    <n v="258"/>
    <n v="50"/>
    <s v="Koramangala"/>
    <x v="2"/>
    <x v="1"/>
    <s v="India"/>
    <x v="53"/>
    <n v="0.19379844961240311"/>
  </r>
  <r>
    <s v="M064"/>
    <x v="3"/>
    <x v="3"/>
    <s v="Suresh Joshi"/>
    <x v="39"/>
    <x v="1"/>
    <x v="0"/>
    <x v="3"/>
    <n v="83"/>
    <n v="106"/>
    <n v="23"/>
    <s v="Howrah"/>
    <x v="4"/>
    <x v="3"/>
    <s v="India"/>
    <x v="54"/>
    <n v="0.21698113207547171"/>
  </r>
  <r>
    <s v="M065"/>
    <x v="4"/>
    <x v="4"/>
    <s v="Reena Mehta"/>
    <x v="10"/>
    <x v="0"/>
    <x v="1"/>
    <x v="4"/>
    <n v="93"/>
    <n v="116"/>
    <n v="23"/>
    <s v="Patel Nagar"/>
    <x v="3"/>
    <x v="2"/>
    <s v="India"/>
    <x v="55"/>
    <n v="0.19827586206896552"/>
  </r>
  <r>
    <s v="M066"/>
    <x v="5"/>
    <x v="5"/>
    <s v="Prakash Gupta"/>
    <x v="26"/>
    <x v="0"/>
    <x v="0"/>
    <x v="5"/>
    <n v="153"/>
    <n v="186"/>
    <n v="33"/>
    <s v="Bidhannagar"/>
    <x v="4"/>
    <x v="3"/>
    <s v="India"/>
    <x v="31"/>
    <n v="0.17741935483870969"/>
  </r>
  <r>
    <s v="M067"/>
    <x v="6"/>
    <x v="6"/>
    <s v="Shalini Nair"/>
    <x v="40"/>
    <x v="2"/>
    <x v="1"/>
    <x v="6"/>
    <n v="257"/>
    <n v="307"/>
    <n v="50"/>
    <s v="Kalamassery"/>
    <x v="5"/>
    <x v="4"/>
    <s v="India"/>
    <x v="56"/>
    <n v="0.16286644951140064"/>
  </r>
  <r>
    <s v="M068"/>
    <x v="7"/>
    <x v="7"/>
    <s v="Arvind Malhotra"/>
    <x v="28"/>
    <x v="0"/>
    <x v="0"/>
    <x v="1"/>
    <n v="186"/>
    <n v="226"/>
    <n v="40"/>
    <s v="Manimajra"/>
    <x v="6"/>
    <x v="5"/>
    <s v="India"/>
    <x v="57"/>
    <n v="0.17699115044247787"/>
  </r>
  <r>
    <s v="M069"/>
    <x v="8"/>
    <x v="2"/>
    <s v="Neha Kumar"/>
    <x v="41"/>
    <x v="2"/>
    <x v="1"/>
    <x v="2"/>
    <n v="410"/>
    <n v="490"/>
    <n v="80"/>
    <s v="Madhapur"/>
    <x v="7"/>
    <x v="6"/>
    <s v="India"/>
    <x v="58"/>
    <n v="0.16326530612244897"/>
  </r>
  <r>
    <s v="M070"/>
    <x v="9"/>
    <x v="5"/>
    <s v="Sanjana Verma"/>
    <x v="19"/>
    <x v="0"/>
    <x v="1"/>
    <x v="5"/>
    <n v="163"/>
    <n v="203"/>
    <n v="40"/>
    <s v="Raja Park"/>
    <x v="8"/>
    <x v="7"/>
    <s v="India"/>
    <x v="59"/>
    <n v="0.19704433497536947"/>
  </r>
  <r>
    <s v="M071"/>
    <x v="10"/>
    <x v="3"/>
    <s v="Ravi Singh"/>
    <x v="24"/>
    <x v="0"/>
    <x v="0"/>
    <x v="3"/>
    <n v="93"/>
    <n v="123"/>
    <n v="30"/>
    <s v="Aminabad"/>
    <x v="9"/>
    <x v="8"/>
    <s v="India"/>
    <x v="60"/>
    <n v="0.24390243902439024"/>
  </r>
  <r>
    <s v="M072"/>
    <x v="11"/>
    <x v="4"/>
    <s v="Smita Rao"/>
    <x v="38"/>
    <x v="0"/>
    <x v="1"/>
    <x v="7"/>
    <n v="227"/>
    <n v="277"/>
    <n v="50"/>
    <s v="CG Road"/>
    <x v="10"/>
    <x v="9"/>
    <s v="India"/>
    <x v="17"/>
    <n v="0.18050541516245489"/>
  </r>
  <r>
    <s v="M073"/>
    <x v="12"/>
    <x v="0"/>
    <s v="Ajay Iyer"/>
    <x v="17"/>
    <x v="0"/>
    <x v="0"/>
    <x v="8"/>
    <n v="307"/>
    <n v="367"/>
    <n v="60"/>
    <s v="Mylapore"/>
    <x v="11"/>
    <x v="10"/>
    <s v="India"/>
    <x v="61"/>
    <n v="0.16348773841961853"/>
  </r>
  <r>
    <s v="M074"/>
    <x v="13"/>
    <x v="1"/>
    <s v="Kirti Shah"/>
    <x v="22"/>
    <x v="0"/>
    <x v="1"/>
    <x v="1"/>
    <n v="143"/>
    <n v="183"/>
    <n v="40"/>
    <s v="Ambawadi"/>
    <x v="10"/>
    <x v="9"/>
    <s v="India"/>
    <x v="62"/>
    <n v="0.21857923497267759"/>
  </r>
  <r>
    <s v="M075"/>
    <x v="14"/>
    <x v="6"/>
    <s v="Manoj Pillai"/>
    <x v="20"/>
    <x v="2"/>
    <x v="0"/>
    <x v="9"/>
    <n v="354"/>
    <n v="424"/>
    <n v="70"/>
    <s v="Kopar Khairane"/>
    <x v="12"/>
    <x v="0"/>
    <s v="India"/>
    <x v="53"/>
    <n v="0.1650943396226415"/>
  </r>
  <r>
    <s v="M076"/>
    <x v="0"/>
    <x v="0"/>
    <s v="Sapna Kulkarni"/>
    <x v="24"/>
    <x v="0"/>
    <x v="1"/>
    <x v="0"/>
    <n v="59"/>
    <n v="74"/>
    <n v="15"/>
    <s v="Erandwane"/>
    <x v="0"/>
    <x v="0"/>
    <s v="India"/>
    <x v="63"/>
    <n v="0.20270270270270271"/>
  </r>
  <r>
    <s v="M077"/>
    <x v="1"/>
    <x v="1"/>
    <s v="Sachin Jha"/>
    <x v="25"/>
    <x v="0"/>
    <x v="0"/>
    <x v="1"/>
    <n v="133"/>
    <n v="163"/>
    <n v="30"/>
    <s v="Sion"/>
    <x v="1"/>
    <x v="0"/>
    <s v="India"/>
    <x v="64"/>
    <n v="0.18404907975460122"/>
  </r>
  <r>
    <s v="M078"/>
    <x v="2"/>
    <x v="2"/>
    <s v="Anita Menon"/>
    <x v="21"/>
    <x v="0"/>
    <x v="1"/>
    <x v="2"/>
    <n v="213"/>
    <n v="263"/>
    <n v="50"/>
    <s v="Domlur"/>
    <x v="2"/>
    <x v="1"/>
    <s v="India"/>
    <x v="47"/>
    <n v="0.19011406844106463"/>
  </r>
  <r>
    <s v="M079"/>
    <x v="3"/>
    <x v="3"/>
    <s v="Raj Kumar"/>
    <x v="34"/>
    <x v="0"/>
    <x v="0"/>
    <x v="3"/>
    <n v="88"/>
    <n v="113"/>
    <n v="25"/>
    <s v="Tollygunge"/>
    <x v="4"/>
    <x v="3"/>
    <s v="India"/>
    <x v="65"/>
    <n v="0.22123893805309736"/>
  </r>
  <r>
    <s v="M080"/>
    <x v="4"/>
    <x v="4"/>
    <s v="Megha Kapoor"/>
    <x v="30"/>
    <x v="0"/>
    <x v="1"/>
    <x v="4"/>
    <n v="98"/>
    <n v="123"/>
    <n v="25"/>
    <s v="Janakpuri"/>
    <x v="3"/>
    <x v="2"/>
    <s v="India"/>
    <x v="66"/>
    <n v="0.2032520325203252"/>
  </r>
  <r>
    <s v="M081"/>
    <x v="5"/>
    <x v="5"/>
    <s v="Sunil Singh"/>
    <x v="23"/>
    <x v="2"/>
    <x v="0"/>
    <x v="5"/>
    <n v="158"/>
    <n v="193"/>
    <n v="35"/>
    <s v="Kadamkuan"/>
    <x v="13"/>
    <x v="11"/>
    <s v="India"/>
    <x v="67"/>
    <n v="0.18134715025906736"/>
  </r>
  <r>
    <s v="M082"/>
    <x v="6"/>
    <x v="6"/>
    <s v="Geeta George"/>
    <x v="5"/>
    <x v="0"/>
    <x v="1"/>
    <x v="6"/>
    <n v="266"/>
    <n v="316"/>
    <n v="50"/>
    <s v="Bandra"/>
    <x v="1"/>
    <x v="0"/>
    <s v="India"/>
    <x v="68"/>
    <n v="0.15822784810126583"/>
  </r>
  <r>
    <s v="M083"/>
    <x v="7"/>
    <x v="7"/>
    <s v="Alok Malhotra"/>
    <x v="36"/>
    <x v="0"/>
    <x v="0"/>
    <x v="1"/>
    <n v="179"/>
    <n v="219"/>
    <n v="40"/>
    <s v="Indiranagar"/>
    <x v="2"/>
    <x v="1"/>
    <s v="India"/>
    <x v="69"/>
    <n v="0.18264840182648401"/>
  </r>
  <r>
    <s v="M084"/>
    <x v="8"/>
    <x v="2"/>
    <s v="Shweta Reddy"/>
    <x v="8"/>
    <x v="2"/>
    <x v="1"/>
    <x v="2"/>
    <n v="396"/>
    <n v="476"/>
    <n v="80"/>
    <s v="Gachibowli"/>
    <x v="7"/>
    <x v="6"/>
    <s v="India"/>
    <x v="70"/>
    <n v="0.16806722689075632"/>
  </r>
  <r>
    <s v="M085"/>
    <x v="9"/>
    <x v="5"/>
    <s v="Rajeev Mishra"/>
    <x v="27"/>
    <x v="0"/>
    <x v="0"/>
    <x v="5"/>
    <n v="169"/>
    <n v="209"/>
    <n v="40"/>
    <s v="Chowk"/>
    <x v="9"/>
    <x v="8"/>
    <s v="India"/>
    <x v="71"/>
    <n v="0.19138755980861244"/>
  </r>
  <r>
    <s v="M086"/>
    <x v="10"/>
    <x v="3"/>
    <s v="Anjali Jain"/>
    <x v="2"/>
    <x v="0"/>
    <x v="1"/>
    <x v="3"/>
    <n v="98"/>
    <n v="128"/>
    <n v="30"/>
    <s v="Sabarmati"/>
    <x v="10"/>
    <x v="9"/>
    <s v="India"/>
    <x v="71"/>
    <n v="0.234375"/>
  </r>
  <r>
    <s v="M087"/>
    <x v="11"/>
    <x v="4"/>
    <s v="Raj Sinha"/>
    <x v="21"/>
    <x v="0"/>
    <x v="0"/>
    <x v="7"/>
    <n v="236"/>
    <n v="286"/>
    <n v="50"/>
    <s v="Perungudi"/>
    <x v="11"/>
    <x v="10"/>
    <s v="India"/>
    <x v="72"/>
    <n v="0.17482517482517482"/>
  </r>
  <r>
    <s v="M088"/>
    <x v="12"/>
    <x v="0"/>
    <s v="Neeraj Kumar"/>
    <x v="11"/>
    <x v="0"/>
    <x v="0"/>
    <x v="8"/>
    <n v="316"/>
    <n v="376"/>
    <n v="60"/>
    <s v="Nungambakkam"/>
    <x v="11"/>
    <x v="10"/>
    <s v="India"/>
    <x v="73"/>
    <n v="0.15957446808510639"/>
  </r>
  <r>
    <s v="M089"/>
    <x v="13"/>
    <x v="1"/>
    <s v="Payal Patel"/>
    <x v="1"/>
    <x v="0"/>
    <x v="1"/>
    <x v="1"/>
    <n v="148"/>
    <n v="188"/>
    <n v="40"/>
    <s v="Thaltej"/>
    <x v="10"/>
    <x v="9"/>
    <s v="India"/>
    <x v="74"/>
    <n v="0.21276595744680851"/>
  </r>
  <r>
    <s v="M090"/>
    <x v="14"/>
    <x v="6"/>
    <s v="Arvind Rao"/>
    <x v="23"/>
    <x v="2"/>
    <x v="0"/>
    <x v="9"/>
    <n v="359"/>
    <n v="429"/>
    <n v="70"/>
    <s v="Yelahanka"/>
    <x v="2"/>
    <x v="1"/>
    <s v="India"/>
    <x v="75"/>
    <n v="0.16317016317016317"/>
  </r>
  <r>
    <s v="M091"/>
    <x v="0"/>
    <x v="0"/>
    <s v="Rekha Sharma"/>
    <x v="36"/>
    <x v="0"/>
    <x v="1"/>
    <x v="0"/>
    <n v="61"/>
    <n v="76"/>
    <n v="15"/>
    <s v="Kalyani Nagar"/>
    <x v="0"/>
    <x v="0"/>
    <s v="India"/>
    <x v="76"/>
    <n v="0.19736842105263158"/>
  </r>
  <r>
    <s v="M092"/>
    <x v="1"/>
    <x v="1"/>
    <s v="Pranav Desai"/>
    <x v="4"/>
    <x v="0"/>
    <x v="0"/>
    <x v="1"/>
    <n v="129"/>
    <n v="159"/>
    <n v="30"/>
    <s v="Chembur"/>
    <x v="1"/>
    <x v="0"/>
    <s v="India"/>
    <x v="77"/>
    <n v="0.18867924528301888"/>
  </r>
  <r>
    <s v="M093"/>
    <x v="2"/>
    <x v="2"/>
    <s v="Shobha Patil"/>
    <x v="14"/>
    <x v="2"/>
    <x v="1"/>
    <x v="2"/>
    <n v="209"/>
    <n v="259"/>
    <n v="50"/>
    <s v="Marathahalli"/>
    <x v="2"/>
    <x v="1"/>
    <s v="India"/>
    <x v="4"/>
    <n v="0.19305019305019305"/>
  </r>
  <r>
    <s v="M094"/>
    <x v="3"/>
    <x v="3"/>
    <s v="Arun Joshi"/>
    <x v="7"/>
    <x v="0"/>
    <x v="0"/>
    <x v="3"/>
    <n v="84"/>
    <n v="107"/>
    <n v="23"/>
    <s v="Dum Dum"/>
    <x v="4"/>
    <x v="3"/>
    <s v="India"/>
    <x v="64"/>
    <n v="0.21495327102803738"/>
  </r>
  <r>
    <s v="M095"/>
    <x v="4"/>
    <x v="4"/>
    <s v="Divya Mehta"/>
    <x v="15"/>
    <x v="0"/>
    <x v="1"/>
    <x v="4"/>
    <n v="94"/>
    <n v="117"/>
    <n v="23"/>
    <s v="Rohini"/>
    <x v="3"/>
    <x v="2"/>
    <s v="India"/>
    <x v="77"/>
    <n v="0.19658119658119658"/>
  </r>
  <r>
    <s v="M096"/>
    <x v="5"/>
    <x v="5"/>
    <s v="Vinay Gupta"/>
    <x v="21"/>
    <x v="0"/>
    <x v="0"/>
    <x v="5"/>
    <n v="154"/>
    <n v="187"/>
    <n v="33"/>
    <s v="Baranagar"/>
    <x v="4"/>
    <x v="3"/>
    <s v="India"/>
    <x v="7"/>
    <n v="0.17647058823529413"/>
  </r>
  <r>
    <s v="M097"/>
    <x v="6"/>
    <x v="6"/>
    <s v="Kavita Nair"/>
    <x v="6"/>
    <x v="2"/>
    <x v="1"/>
    <x v="6"/>
    <n v="258"/>
    <n v="308"/>
    <n v="50"/>
    <s v="Thrippunithura"/>
    <x v="5"/>
    <x v="4"/>
    <s v="India"/>
    <x v="78"/>
    <n v="0.16233766233766234"/>
  </r>
  <r>
    <s v="M098"/>
    <x v="7"/>
    <x v="7"/>
    <s v="Manish Malhotra"/>
    <x v="13"/>
    <x v="0"/>
    <x v="0"/>
    <x v="1"/>
    <n v="187"/>
    <n v="227"/>
    <n v="40"/>
    <s v="Sec 22"/>
    <x v="6"/>
    <x v="5"/>
    <s v="India"/>
    <x v="79"/>
    <n v="0.1762114537444934"/>
  </r>
  <r>
    <s v="M099"/>
    <x v="8"/>
    <x v="2"/>
    <s v="Anita Kumar"/>
    <x v="33"/>
    <x v="2"/>
    <x v="1"/>
    <x v="2"/>
    <n v="412"/>
    <n v="492"/>
    <n v="80"/>
    <s v="Kukatpally"/>
    <x v="7"/>
    <x v="6"/>
    <s v="India"/>
    <x v="53"/>
    <n v="0.16260162601626016"/>
  </r>
  <r>
    <s v="M100"/>
    <x v="14"/>
    <x v="6"/>
    <s v="Ananya Sen"/>
    <x v="38"/>
    <x v="0"/>
    <x v="1"/>
    <x v="9"/>
    <n v="360"/>
    <n v="430"/>
    <n v="70"/>
    <s v="Behala"/>
    <x v="4"/>
    <x v="3"/>
    <s v="India"/>
    <x v="80"/>
    <n v="0.1627906976744186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D2131A-3EDA-430F-ABED-0F1FBEBA1969}" name="PivotTable2"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16" firstHeaderRow="1" firstDataRow="1" firstDataCol="1"/>
  <pivotFields count="19">
    <pivotField showAll="0"/>
    <pivotField showAll="0">
      <items count="16">
        <item x="1"/>
        <item x="6"/>
        <item x="14"/>
        <item x="7"/>
        <item x="3"/>
        <item x="11"/>
        <item x="13"/>
        <item x="12"/>
        <item x="4"/>
        <item x="8"/>
        <item x="10"/>
        <item x="2"/>
        <item x="5"/>
        <item x="9"/>
        <item x="0"/>
        <item t="default"/>
      </items>
    </pivotField>
    <pivotField showAll="0"/>
    <pivotField showAll="0"/>
    <pivotField numFmtId="1" showAll="0"/>
    <pivotField showAll="0"/>
    <pivotField showAll="0"/>
    <pivotField showAll="0"/>
    <pivotField numFmtId="1" showAll="0"/>
    <pivotField numFmtId="1" showAll="0"/>
    <pivotField dataField="1" numFmtId="1" showAll="0"/>
    <pivotField showAll="0"/>
    <pivotField showAll="0"/>
    <pivotField axis="axisRow" showAll="0">
      <items count="13">
        <item x="11"/>
        <item x="2"/>
        <item x="9"/>
        <item x="1"/>
        <item x="4"/>
        <item x="0"/>
        <item x="5"/>
        <item x="7"/>
        <item x="10"/>
        <item x="6"/>
        <item x="8"/>
        <item x="3"/>
        <item t="default"/>
      </items>
    </pivotField>
    <pivotField showAll="0"/>
    <pivotField numFmtId="166" showAll="0">
      <items count="149">
        <item x="50"/>
        <item m="1" x="116"/>
        <item m="1" x="85"/>
        <item m="1" x="117"/>
        <item m="1" x="99"/>
        <item x="72"/>
        <item m="1" x="146"/>
        <item m="1" x="121"/>
        <item m="1" x="126"/>
        <item m="1" x="89"/>
        <item m="1" x="109"/>
        <item m="1" x="129"/>
        <item x="48"/>
        <item x="64"/>
        <item x="47"/>
        <item x="10"/>
        <item m="1" x="92"/>
        <item m="1" x="108"/>
        <item m="1" x="143"/>
        <item x="71"/>
        <item m="1" x="107"/>
        <item m="1" x="111"/>
        <item m="1" x="112"/>
        <item m="1" x="90"/>
        <item m="1" x="84"/>
        <item x="31"/>
        <item m="1" x="97"/>
        <item x="44"/>
        <item m="1" x="110"/>
        <item m="1" x="142"/>
        <item m="1" x="127"/>
        <item m="1" x="130"/>
        <item x="28"/>
        <item m="1" x="141"/>
        <item m="1" x="118"/>
        <item m="1" x="94"/>
        <item m="1" x="120"/>
        <item m="1" x="88"/>
        <item x="16"/>
        <item m="1" x="100"/>
        <item x="24"/>
        <item x="4"/>
        <item x="25"/>
        <item x="7"/>
        <item m="1" x="137"/>
        <item m="1" x="113"/>
        <item x="41"/>
        <item x="70"/>
        <item m="1" x="144"/>
        <item m="1" x="133"/>
        <item m="1" x="134"/>
        <item m="1" x="104"/>
        <item m="1" x="82"/>
        <item m="1" x="140"/>
        <item m="1" x="138"/>
        <item m="1" x="105"/>
        <item m="1" x="91"/>
        <item x="23"/>
        <item m="1" x="103"/>
        <item m="1" x="115"/>
        <item m="1" x="131"/>
        <item m="1" x="96"/>
        <item m="1" x="87"/>
        <item m="1" x="135"/>
        <item m="1" x="139"/>
        <item m="1" x="125"/>
        <item m="1" x="98"/>
        <item x="27"/>
        <item m="1" x="124"/>
        <item m="1" x="106"/>
        <item m="1" x="147"/>
        <item m="1" x="101"/>
        <item m="1" x="119"/>
        <item m="1" x="145"/>
        <item x="40"/>
        <item m="1" x="128"/>
        <item m="1" x="102"/>
        <item m="1" x="83"/>
        <item m="1" x="86"/>
        <item x="65"/>
        <item m="1" x="123"/>
        <item m="1" x="114"/>
        <item m="1" x="81"/>
        <item m="1" x="93"/>
        <item m="1" x="122"/>
        <item m="1" x="95"/>
        <item m="1" x="132"/>
        <item m="1" x="136"/>
        <item x="49"/>
        <item x="0"/>
        <item x="1"/>
        <item x="2"/>
        <item x="3"/>
        <item x="5"/>
        <item x="6"/>
        <item x="8"/>
        <item x="9"/>
        <item x="11"/>
        <item x="12"/>
        <item x="13"/>
        <item x="14"/>
        <item x="15"/>
        <item x="17"/>
        <item x="18"/>
        <item x="19"/>
        <item x="20"/>
        <item x="21"/>
        <item x="22"/>
        <item x="26"/>
        <item x="29"/>
        <item x="30"/>
        <item x="32"/>
        <item x="33"/>
        <item x="34"/>
        <item x="35"/>
        <item x="36"/>
        <item x="37"/>
        <item x="38"/>
        <item x="39"/>
        <item x="42"/>
        <item x="43"/>
        <item x="45"/>
        <item x="46"/>
        <item x="51"/>
        <item x="52"/>
        <item x="53"/>
        <item x="54"/>
        <item x="55"/>
        <item x="56"/>
        <item x="57"/>
        <item x="58"/>
        <item x="59"/>
        <item x="60"/>
        <item x="61"/>
        <item x="62"/>
        <item x="63"/>
        <item x="66"/>
        <item x="67"/>
        <item x="68"/>
        <item x="69"/>
        <item x="73"/>
        <item x="74"/>
        <item x="75"/>
        <item x="76"/>
        <item x="77"/>
        <item x="78"/>
        <item x="79"/>
        <item x="80"/>
        <item t="default"/>
      </items>
    </pivotField>
    <pivotField numFmtId="10"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showAll="0">
      <items count="15">
        <item x="0"/>
        <item x="1"/>
        <item x="2"/>
        <item x="3"/>
        <item x="4"/>
        <item x="5"/>
        <item x="6"/>
        <item x="7"/>
        <item x="8"/>
        <item x="9"/>
        <item x="10"/>
        <item x="11"/>
        <item x="12"/>
        <item x="13"/>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Profit" fld="10" baseField="12" baseItem="1"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2DEFB3E-C05B-4D17-BA4B-A79F8A0AD3C8}" name="PivotTable3"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19:B32" firstHeaderRow="1" firstDataRow="1" firstDataCol="1"/>
  <pivotFields count="19">
    <pivotField showAll="0"/>
    <pivotField showAll="0">
      <items count="16">
        <item x="1"/>
        <item x="6"/>
        <item x="14"/>
        <item x="7"/>
        <item x="3"/>
        <item x="11"/>
        <item x="13"/>
        <item x="12"/>
        <item x="4"/>
        <item x="8"/>
        <item x="10"/>
        <item x="2"/>
        <item x="5"/>
        <item x="9"/>
        <item x="0"/>
        <item t="default"/>
      </items>
    </pivotField>
    <pivotField showAll="0"/>
    <pivotField showAll="0"/>
    <pivotField numFmtId="1" showAll="0"/>
    <pivotField showAll="0"/>
    <pivotField showAll="0"/>
    <pivotField dataField="1" showAll="0"/>
    <pivotField numFmtId="1" showAll="0"/>
    <pivotField numFmtId="1" showAll="0"/>
    <pivotField numFmtId="1" showAll="0"/>
    <pivotField showAll="0"/>
    <pivotField showAll="0"/>
    <pivotField axis="axisRow" showAll="0">
      <items count="13">
        <item x="11"/>
        <item x="2"/>
        <item x="9"/>
        <item x="1"/>
        <item x="4"/>
        <item x="0"/>
        <item x="5"/>
        <item x="7"/>
        <item x="10"/>
        <item x="6"/>
        <item x="8"/>
        <item x="3"/>
        <item t="default"/>
      </items>
    </pivotField>
    <pivotField showAll="0"/>
    <pivotField numFmtId="166" showAll="0">
      <items count="149">
        <item x="50"/>
        <item m="1" x="116"/>
        <item m="1" x="85"/>
        <item m="1" x="117"/>
        <item m="1" x="99"/>
        <item x="72"/>
        <item m="1" x="146"/>
        <item m="1" x="121"/>
        <item m="1" x="126"/>
        <item m="1" x="89"/>
        <item m="1" x="109"/>
        <item m="1" x="129"/>
        <item x="48"/>
        <item x="64"/>
        <item x="47"/>
        <item x="10"/>
        <item m="1" x="92"/>
        <item m="1" x="108"/>
        <item m="1" x="143"/>
        <item x="71"/>
        <item m="1" x="107"/>
        <item m="1" x="111"/>
        <item m="1" x="112"/>
        <item m="1" x="90"/>
        <item m="1" x="84"/>
        <item x="31"/>
        <item m="1" x="97"/>
        <item x="44"/>
        <item m="1" x="110"/>
        <item m="1" x="142"/>
        <item m="1" x="127"/>
        <item m="1" x="130"/>
        <item x="28"/>
        <item m="1" x="141"/>
        <item m="1" x="118"/>
        <item m="1" x="94"/>
        <item m="1" x="120"/>
        <item m="1" x="88"/>
        <item x="16"/>
        <item m="1" x="100"/>
        <item x="24"/>
        <item x="4"/>
        <item x="25"/>
        <item x="7"/>
        <item m="1" x="137"/>
        <item m="1" x="113"/>
        <item x="41"/>
        <item x="70"/>
        <item m="1" x="144"/>
        <item m="1" x="133"/>
        <item m="1" x="134"/>
        <item m="1" x="104"/>
        <item m="1" x="82"/>
        <item m="1" x="140"/>
        <item m="1" x="138"/>
        <item m="1" x="105"/>
        <item m="1" x="91"/>
        <item x="23"/>
        <item m="1" x="103"/>
        <item m="1" x="115"/>
        <item m="1" x="131"/>
        <item m="1" x="96"/>
        <item m="1" x="87"/>
        <item m="1" x="135"/>
        <item m="1" x="139"/>
        <item m="1" x="125"/>
        <item m="1" x="98"/>
        <item x="27"/>
        <item m="1" x="124"/>
        <item m="1" x="106"/>
        <item m="1" x="147"/>
        <item m="1" x="101"/>
        <item m="1" x="119"/>
        <item m="1" x="145"/>
        <item x="40"/>
        <item m="1" x="128"/>
        <item m="1" x="102"/>
        <item m="1" x="83"/>
        <item m="1" x="86"/>
        <item x="65"/>
        <item m="1" x="123"/>
        <item m="1" x="114"/>
        <item m="1" x="81"/>
        <item m="1" x="93"/>
        <item m="1" x="122"/>
        <item m="1" x="95"/>
        <item m="1" x="132"/>
        <item m="1" x="136"/>
        <item x="49"/>
        <item x="0"/>
        <item x="1"/>
        <item x="2"/>
        <item x="3"/>
        <item x="5"/>
        <item x="6"/>
        <item x="8"/>
        <item x="9"/>
        <item x="11"/>
        <item x="12"/>
        <item x="13"/>
        <item x="14"/>
        <item x="15"/>
        <item x="17"/>
        <item x="18"/>
        <item x="19"/>
        <item x="20"/>
        <item x="21"/>
        <item x="22"/>
        <item x="26"/>
        <item x="29"/>
        <item x="30"/>
        <item x="32"/>
        <item x="33"/>
        <item x="34"/>
        <item x="35"/>
        <item x="36"/>
        <item x="37"/>
        <item x="38"/>
        <item x="39"/>
        <item x="42"/>
        <item x="43"/>
        <item x="45"/>
        <item x="46"/>
        <item x="51"/>
        <item x="52"/>
        <item x="53"/>
        <item x="54"/>
        <item x="55"/>
        <item x="56"/>
        <item x="57"/>
        <item x="58"/>
        <item x="59"/>
        <item x="60"/>
        <item x="61"/>
        <item x="62"/>
        <item x="63"/>
        <item x="66"/>
        <item x="67"/>
        <item x="68"/>
        <item x="69"/>
        <item x="73"/>
        <item x="74"/>
        <item x="75"/>
        <item x="76"/>
        <item x="77"/>
        <item x="78"/>
        <item x="79"/>
        <item x="80"/>
        <item t="default"/>
      </items>
    </pivotField>
    <pivotField numFmtId="10"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showAll="0">
      <items count="15">
        <item x="0"/>
        <item x="1"/>
        <item x="2"/>
        <item x="3"/>
        <item x="4"/>
        <item x="5"/>
        <item x="6"/>
        <item x="7"/>
        <item x="8"/>
        <item x="9"/>
        <item x="10"/>
        <item x="11"/>
        <item x="12"/>
        <item x="13"/>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Count of Disease" fld="7" subtotal="count" baseField="0" baseItem="0"/>
  </dataFields>
  <chartFormats count="2">
    <chartFormat chart="0" format="3"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157CB9-B5DC-4120-8B8F-FA10D2C18997}" name="PivotTable6"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3">
  <location ref="A3:B14" firstHeaderRow="1" firstDataRow="1" firstDataCol="1"/>
  <pivotFields count="19">
    <pivotField showAll="0"/>
    <pivotField showAll="0" sortType="descending">
      <items count="16">
        <item x="0"/>
        <item x="9"/>
        <item x="5"/>
        <item x="2"/>
        <item x="10"/>
        <item x="8"/>
        <item x="4"/>
        <item x="12"/>
        <item x="13"/>
        <item x="11"/>
        <item x="3"/>
        <item x="7"/>
        <item x="14"/>
        <item x="6"/>
        <item x="1"/>
        <item t="default"/>
      </items>
    </pivotField>
    <pivotField showAll="0"/>
    <pivotField dataField="1" showAll="0"/>
    <pivotField numFmtId="1" showAll="0"/>
    <pivotField showAll="0"/>
    <pivotField showAll="0"/>
    <pivotField axis="axisRow" showAll="0" sortType="descending">
      <items count="11">
        <item x="5"/>
        <item x="3"/>
        <item x="7"/>
        <item x="9"/>
        <item x="2"/>
        <item x="0"/>
        <item x="4"/>
        <item x="6"/>
        <item x="1"/>
        <item x="8"/>
        <item t="default"/>
      </items>
      <autoSortScope>
        <pivotArea dataOnly="0" outline="0" fieldPosition="0">
          <references count="1">
            <reference field="4294967294" count="1" selected="0">
              <x v="0"/>
            </reference>
          </references>
        </pivotArea>
      </autoSortScope>
    </pivotField>
    <pivotField numFmtId="1" showAll="0"/>
    <pivotField numFmtId="1" showAll="0"/>
    <pivotField numFmtId="1" showAll="0"/>
    <pivotField showAll="0"/>
    <pivotField showAll="0"/>
    <pivotField showAll="0">
      <items count="13">
        <item x="11"/>
        <item x="2"/>
        <item x="9"/>
        <item x="1"/>
        <item x="4"/>
        <item x="0"/>
        <item x="5"/>
        <item x="7"/>
        <item x="10"/>
        <item x="6"/>
        <item x="8"/>
        <item x="3"/>
        <item t="default"/>
      </items>
    </pivotField>
    <pivotField showAll="0"/>
    <pivotField numFmtId="166" showAll="0">
      <items count="149">
        <item x="50"/>
        <item m="1" x="116"/>
        <item m="1" x="85"/>
        <item m="1" x="117"/>
        <item m="1" x="99"/>
        <item x="72"/>
        <item m="1" x="146"/>
        <item m="1" x="121"/>
        <item m="1" x="126"/>
        <item m="1" x="89"/>
        <item m="1" x="109"/>
        <item m="1" x="129"/>
        <item x="48"/>
        <item x="64"/>
        <item x="47"/>
        <item x="10"/>
        <item m="1" x="92"/>
        <item m="1" x="108"/>
        <item m="1" x="143"/>
        <item x="71"/>
        <item m="1" x="107"/>
        <item m="1" x="111"/>
        <item m="1" x="112"/>
        <item m="1" x="90"/>
        <item m="1" x="84"/>
        <item x="31"/>
        <item m="1" x="97"/>
        <item x="44"/>
        <item m="1" x="110"/>
        <item m="1" x="142"/>
        <item m="1" x="127"/>
        <item m="1" x="130"/>
        <item x="28"/>
        <item m="1" x="141"/>
        <item m="1" x="118"/>
        <item m="1" x="94"/>
        <item m="1" x="120"/>
        <item m="1" x="88"/>
        <item x="16"/>
        <item m="1" x="100"/>
        <item x="24"/>
        <item x="4"/>
        <item x="25"/>
        <item x="7"/>
        <item m="1" x="137"/>
        <item m="1" x="113"/>
        <item x="41"/>
        <item x="70"/>
        <item m="1" x="144"/>
        <item m="1" x="133"/>
        <item m="1" x="134"/>
        <item m="1" x="104"/>
        <item m="1" x="82"/>
        <item m="1" x="140"/>
        <item m="1" x="138"/>
        <item m="1" x="105"/>
        <item m="1" x="91"/>
        <item x="23"/>
        <item m="1" x="103"/>
        <item m="1" x="115"/>
        <item m="1" x="131"/>
        <item m="1" x="96"/>
        <item m="1" x="87"/>
        <item m="1" x="135"/>
        <item m="1" x="139"/>
        <item m="1" x="125"/>
        <item m="1" x="98"/>
        <item x="27"/>
        <item m="1" x="124"/>
        <item m="1" x="106"/>
        <item m="1" x="147"/>
        <item m="1" x="101"/>
        <item m="1" x="119"/>
        <item m="1" x="145"/>
        <item x="40"/>
        <item m="1" x="128"/>
        <item m="1" x="102"/>
        <item m="1" x="83"/>
        <item m="1" x="86"/>
        <item x="65"/>
        <item m="1" x="123"/>
        <item m="1" x="114"/>
        <item m="1" x="81"/>
        <item m="1" x="93"/>
        <item m="1" x="122"/>
        <item m="1" x="95"/>
        <item m="1" x="132"/>
        <item m="1" x="136"/>
        <item x="49"/>
        <item x="0"/>
        <item x="1"/>
        <item x="2"/>
        <item x="3"/>
        <item x="5"/>
        <item x="6"/>
        <item x="8"/>
        <item x="9"/>
        <item x="11"/>
        <item x="12"/>
        <item x="13"/>
        <item x="14"/>
        <item x="15"/>
        <item x="17"/>
        <item x="18"/>
        <item x="19"/>
        <item x="20"/>
        <item x="21"/>
        <item x="22"/>
        <item x="26"/>
        <item x="29"/>
        <item x="30"/>
        <item x="32"/>
        <item x="33"/>
        <item x="34"/>
        <item x="35"/>
        <item x="36"/>
        <item x="37"/>
        <item x="38"/>
        <item x="39"/>
        <item x="42"/>
        <item x="43"/>
        <item x="45"/>
        <item x="46"/>
        <item x="51"/>
        <item x="52"/>
        <item x="53"/>
        <item x="54"/>
        <item x="55"/>
        <item x="56"/>
        <item x="57"/>
        <item x="58"/>
        <item x="59"/>
        <item x="60"/>
        <item x="61"/>
        <item x="62"/>
        <item x="63"/>
        <item x="66"/>
        <item x="67"/>
        <item x="68"/>
        <item x="69"/>
        <item x="73"/>
        <item x="74"/>
        <item x="75"/>
        <item x="76"/>
        <item x="77"/>
        <item x="78"/>
        <item x="79"/>
        <item x="80"/>
        <item t="default"/>
      </items>
    </pivotField>
    <pivotField numFmtId="10"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showAll="0">
      <items count="15">
        <item x="0"/>
        <item x="1"/>
        <item x="2"/>
        <item x="3"/>
        <item x="4"/>
        <item x="5"/>
        <item x="6"/>
        <item x="7"/>
        <item x="8"/>
        <item x="9"/>
        <item x="10"/>
        <item x="11"/>
        <item x="12"/>
        <item x="13"/>
        <item t="default"/>
      </items>
    </pivotField>
  </pivotFields>
  <rowFields count="1">
    <field x="7"/>
  </rowFields>
  <rowItems count="11">
    <i>
      <x v="8"/>
    </i>
    <i>
      <x v="4"/>
    </i>
    <i>
      <x v="1"/>
    </i>
    <i>
      <x/>
    </i>
    <i>
      <x v="3"/>
    </i>
    <i>
      <x v="7"/>
    </i>
    <i>
      <x v="6"/>
    </i>
    <i>
      <x v="5"/>
    </i>
    <i>
      <x v="9"/>
    </i>
    <i>
      <x v="2"/>
    </i>
    <i t="grand">
      <x/>
    </i>
  </rowItems>
  <colItems count="1">
    <i/>
  </colItems>
  <dataFields count="1">
    <dataField name="Count of Patient Name" fld="3" subtotal="count" baseField="0" baseItem="0"/>
  </dataFields>
  <chartFormats count="12">
    <chartFormat chart="0" format="12" series="1">
      <pivotArea type="data" outline="0" fieldPosition="0">
        <references count="1">
          <reference field="4294967294" count="1" selected="0">
            <x v="0"/>
          </reference>
        </references>
      </pivotArea>
    </chartFormat>
    <chartFormat chart="4" format="35" series="1">
      <pivotArea type="data" outline="0" fieldPosition="0">
        <references count="1">
          <reference field="4294967294" count="1" selected="0">
            <x v="0"/>
          </reference>
        </references>
      </pivotArea>
    </chartFormat>
    <chartFormat chart="4" format="36">
      <pivotArea type="data" outline="0" fieldPosition="0">
        <references count="2">
          <reference field="4294967294" count="1" selected="0">
            <x v="0"/>
          </reference>
          <reference field="7" count="1" selected="0">
            <x v="0"/>
          </reference>
        </references>
      </pivotArea>
    </chartFormat>
    <chartFormat chart="4" format="37">
      <pivotArea type="data" outline="0" fieldPosition="0">
        <references count="2">
          <reference field="4294967294" count="1" selected="0">
            <x v="0"/>
          </reference>
          <reference field="7" count="1" selected="0">
            <x v="1"/>
          </reference>
        </references>
      </pivotArea>
    </chartFormat>
    <chartFormat chart="4" format="38">
      <pivotArea type="data" outline="0" fieldPosition="0">
        <references count="2">
          <reference field="4294967294" count="1" selected="0">
            <x v="0"/>
          </reference>
          <reference field="7" count="1" selected="0">
            <x v="2"/>
          </reference>
        </references>
      </pivotArea>
    </chartFormat>
    <chartFormat chart="4" format="39">
      <pivotArea type="data" outline="0" fieldPosition="0">
        <references count="2">
          <reference field="4294967294" count="1" selected="0">
            <x v="0"/>
          </reference>
          <reference field="7" count="1" selected="0">
            <x v="3"/>
          </reference>
        </references>
      </pivotArea>
    </chartFormat>
    <chartFormat chart="4" format="40">
      <pivotArea type="data" outline="0" fieldPosition="0">
        <references count="2">
          <reference field="4294967294" count="1" selected="0">
            <x v="0"/>
          </reference>
          <reference field="7" count="1" selected="0">
            <x v="4"/>
          </reference>
        </references>
      </pivotArea>
    </chartFormat>
    <chartFormat chart="4" format="41">
      <pivotArea type="data" outline="0" fieldPosition="0">
        <references count="2">
          <reference field="4294967294" count="1" selected="0">
            <x v="0"/>
          </reference>
          <reference field="7" count="1" selected="0">
            <x v="5"/>
          </reference>
        </references>
      </pivotArea>
    </chartFormat>
    <chartFormat chart="4" format="42">
      <pivotArea type="data" outline="0" fieldPosition="0">
        <references count="2">
          <reference field="4294967294" count="1" selected="0">
            <x v="0"/>
          </reference>
          <reference field="7" count="1" selected="0">
            <x v="6"/>
          </reference>
        </references>
      </pivotArea>
    </chartFormat>
    <chartFormat chart="4" format="43">
      <pivotArea type="data" outline="0" fieldPosition="0">
        <references count="2">
          <reference field="4294967294" count="1" selected="0">
            <x v="0"/>
          </reference>
          <reference field="7" count="1" selected="0">
            <x v="7"/>
          </reference>
        </references>
      </pivotArea>
    </chartFormat>
    <chartFormat chart="4" format="44">
      <pivotArea type="data" outline="0" fieldPosition="0">
        <references count="2">
          <reference field="4294967294" count="1" selected="0">
            <x v="0"/>
          </reference>
          <reference field="7" count="1" selected="0">
            <x v="8"/>
          </reference>
        </references>
      </pivotArea>
    </chartFormat>
    <chartFormat chart="4" format="45">
      <pivotArea type="data" outline="0" fieldPosition="0">
        <references count="2">
          <reference field="4294967294" count="1" selected="0">
            <x v="0"/>
          </reference>
          <reference field="7"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B51DD9-10DE-464B-AE7F-7718FF07FD77}" name="PivotTable1" cacheId="4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2" colHeaderCaption="">
  <location ref="A3:C7" firstHeaderRow="1" firstDataRow="2" firstDataCol="1"/>
  <pivotFields count="19">
    <pivotField showAll="0"/>
    <pivotField showAll="0">
      <items count="16">
        <item x="1"/>
        <item x="6"/>
        <item x="14"/>
        <item x="7"/>
        <item x="3"/>
        <item x="11"/>
        <item x="13"/>
        <item x="12"/>
        <item x="4"/>
        <item x="8"/>
        <item x="10"/>
        <item x="2"/>
        <item x="5"/>
        <item x="9"/>
        <item x="0"/>
        <item t="default"/>
      </items>
    </pivotField>
    <pivotField showAll="0"/>
    <pivotField showAll="0"/>
    <pivotField numFmtId="1" showAll="0"/>
    <pivotField axis="axisRow" showAll="0" sortType="descending">
      <items count="6">
        <item x="0"/>
        <item m="1" x="4"/>
        <item m="1" x="3"/>
        <item x="1"/>
        <item x="2"/>
        <item t="default"/>
      </items>
      <autoSortScope>
        <pivotArea dataOnly="0" outline="0" fieldPosition="0">
          <references count="2">
            <reference field="4294967294" count="1" selected="0">
              <x v="0"/>
            </reference>
            <reference field="6" count="1" selected="0">
              <x v="0"/>
            </reference>
          </references>
        </pivotArea>
      </autoSortScope>
    </pivotField>
    <pivotField axis="axisCol" showAll="0">
      <items count="3">
        <item x="1"/>
        <item x="0"/>
        <item t="default"/>
      </items>
    </pivotField>
    <pivotField showAll="0"/>
    <pivotField numFmtId="1" showAll="0"/>
    <pivotField numFmtId="1" showAll="0"/>
    <pivotField numFmtId="1" showAll="0"/>
    <pivotField showAll="0"/>
    <pivotField dataField="1" showAll="0"/>
    <pivotField showAll="0">
      <items count="13">
        <item x="11"/>
        <item x="2"/>
        <item x="9"/>
        <item x="1"/>
        <item x="4"/>
        <item x="0"/>
        <item x="5"/>
        <item x="7"/>
        <item x="10"/>
        <item x="6"/>
        <item x="8"/>
        <item x="3"/>
        <item t="default"/>
      </items>
    </pivotField>
    <pivotField showAll="0"/>
    <pivotField numFmtId="166" showAll="0">
      <items count="149">
        <item x="50"/>
        <item m="1" x="116"/>
        <item m="1" x="85"/>
        <item m="1" x="117"/>
        <item m="1" x="99"/>
        <item x="72"/>
        <item m="1" x="146"/>
        <item m="1" x="121"/>
        <item m="1" x="126"/>
        <item m="1" x="89"/>
        <item m="1" x="109"/>
        <item m="1" x="129"/>
        <item x="48"/>
        <item x="64"/>
        <item x="47"/>
        <item x="10"/>
        <item m="1" x="92"/>
        <item m="1" x="108"/>
        <item m="1" x="143"/>
        <item x="71"/>
        <item m="1" x="107"/>
        <item m="1" x="111"/>
        <item m="1" x="112"/>
        <item m="1" x="90"/>
        <item m="1" x="84"/>
        <item x="31"/>
        <item m="1" x="97"/>
        <item x="44"/>
        <item m="1" x="110"/>
        <item m="1" x="142"/>
        <item m="1" x="127"/>
        <item m="1" x="130"/>
        <item x="28"/>
        <item m="1" x="141"/>
        <item m="1" x="118"/>
        <item m="1" x="94"/>
        <item m="1" x="120"/>
        <item m="1" x="88"/>
        <item x="16"/>
        <item m="1" x="100"/>
        <item x="24"/>
        <item x="4"/>
        <item x="25"/>
        <item x="7"/>
        <item m="1" x="137"/>
        <item m="1" x="113"/>
        <item x="41"/>
        <item x="70"/>
        <item m="1" x="144"/>
        <item m="1" x="133"/>
        <item m="1" x="134"/>
        <item m="1" x="104"/>
        <item m="1" x="82"/>
        <item m="1" x="140"/>
        <item m="1" x="138"/>
        <item m="1" x="105"/>
        <item m="1" x="91"/>
        <item x="23"/>
        <item m="1" x="103"/>
        <item m="1" x="115"/>
        <item m="1" x="131"/>
        <item m="1" x="96"/>
        <item m="1" x="87"/>
        <item m="1" x="135"/>
        <item m="1" x="139"/>
        <item m="1" x="125"/>
        <item m="1" x="98"/>
        <item x="27"/>
        <item m="1" x="124"/>
        <item m="1" x="106"/>
        <item m="1" x="147"/>
        <item m="1" x="101"/>
        <item m="1" x="119"/>
        <item m="1" x="145"/>
        <item x="40"/>
        <item m="1" x="128"/>
        <item m="1" x="102"/>
        <item m="1" x="83"/>
        <item m="1" x="86"/>
        <item x="65"/>
        <item m="1" x="123"/>
        <item m="1" x="114"/>
        <item m="1" x="81"/>
        <item m="1" x="93"/>
        <item m="1" x="122"/>
        <item m="1" x="95"/>
        <item m="1" x="132"/>
        <item m="1" x="136"/>
        <item x="49"/>
        <item x="0"/>
        <item x="1"/>
        <item x="2"/>
        <item x="3"/>
        <item x="5"/>
        <item x="6"/>
        <item x="8"/>
        <item x="9"/>
        <item x="11"/>
        <item x="12"/>
        <item x="13"/>
        <item x="14"/>
        <item x="15"/>
        <item x="17"/>
        <item x="18"/>
        <item x="19"/>
        <item x="20"/>
        <item x="21"/>
        <item x="22"/>
        <item x="26"/>
        <item x="29"/>
        <item x="30"/>
        <item x="32"/>
        <item x="33"/>
        <item x="34"/>
        <item x="35"/>
        <item x="36"/>
        <item x="37"/>
        <item x="38"/>
        <item x="39"/>
        <item x="42"/>
        <item x="43"/>
        <item x="45"/>
        <item x="46"/>
        <item x="51"/>
        <item x="52"/>
        <item x="53"/>
        <item x="54"/>
        <item x="55"/>
        <item x="56"/>
        <item x="57"/>
        <item x="58"/>
        <item x="59"/>
        <item x="60"/>
        <item x="61"/>
        <item x="62"/>
        <item x="63"/>
        <item x="66"/>
        <item x="67"/>
        <item x="68"/>
        <item x="69"/>
        <item x="73"/>
        <item x="74"/>
        <item x="75"/>
        <item x="76"/>
        <item x="77"/>
        <item x="78"/>
        <item x="79"/>
        <item x="80"/>
        <item t="default"/>
      </items>
    </pivotField>
    <pivotField numFmtId="10" showAll="0"/>
    <pivotField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0"/>
        <item t="default"/>
      </items>
    </pivotField>
    <pivotField showAll="0">
      <items count="15">
        <item x="0"/>
        <item x="1"/>
        <item x="2"/>
        <item x="3"/>
        <item x="4"/>
        <item x="5"/>
        <item x="6"/>
        <item x="7"/>
        <item x="8"/>
        <item x="9"/>
        <item x="10"/>
        <item x="11"/>
        <item x="12"/>
        <item x="13"/>
        <item t="default"/>
      </items>
    </pivotField>
  </pivotFields>
  <rowFields count="1">
    <field x="5"/>
  </rowFields>
  <rowItems count="3">
    <i>
      <x/>
    </i>
    <i>
      <x v="4"/>
    </i>
    <i>
      <x v="3"/>
    </i>
  </rowItems>
  <colFields count="1">
    <field x="6"/>
  </colFields>
  <colItems count="2">
    <i>
      <x/>
    </i>
    <i>
      <x v="1"/>
    </i>
  </colItems>
  <dataFields count="1">
    <dataField name="Count of City" fld="12" subtotal="count" baseField="0" baseItem="0"/>
  </dataFields>
  <chartFormats count="6">
    <chartFormat chart="28" format="16" series="1">
      <pivotArea type="data" outline="0" fieldPosition="0">
        <references count="1">
          <reference field="6" count="1" selected="0">
            <x v="0"/>
          </reference>
        </references>
      </pivotArea>
    </chartFormat>
    <chartFormat chart="28" format="17" series="1">
      <pivotArea type="data" outline="0" fieldPosition="0">
        <references count="1">
          <reference field="6" count="1" selected="0">
            <x v="1"/>
          </reference>
        </references>
      </pivotArea>
    </chartFormat>
    <chartFormat chart="31" format="22" series="1">
      <pivotArea type="data" outline="0" fieldPosition="0">
        <references count="2">
          <reference field="4294967294" count="1" selected="0">
            <x v="0"/>
          </reference>
          <reference field="6" count="1" selected="0">
            <x v="0"/>
          </reference>
        </references>
      </pivotArea>
    </chartFormat>
    <chartFormat chart="31" format="23" series="1">
      <pivotArea type="data" outline="0" fieldPosition="0">
        <references count="2">
          <reference field="4294967294" count="1" selected="0">
            <x v="0"/>
          </reference>
          <reference field="6" count="1" selected="0">
            <x v="1"/>
          </reference>
        </references>
      </pivotArea>
    </chartFormat>
    <chartFormat chart="28" format="20" series="1">
      <pivotArea type="data" outline="0" fieldPosition="0">
        <references count="2">
          <reference field="4294967294" count="1" selected="0">
            <x v="0"/>
          </reference>
          <reference field="6" count="1" selected="0">
            <x v="0"/>
          </reference>
        </references>
      </pivotArea>
    </chartFormat>
    <chartFormat chart="28" format="21"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94D4AF-CC74-4BA5-996D-1329553FAB53}" name="PivotTable4"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C16" firstHeaderRow="0" firstDataRow="1" firstDataCol="1"/>
  <pivotFields count="19">
    <pivotField showAll="0"/>
    <pivotField showAll="0">
      <items count="16">
        <item x="1"/>
        <item x="6"/>
        <item x="14"/>
        <item x="7"/>
        <item x="3"/>
        <item x="11"/>
        <item x="13"/>
        <item x="12"/>
        <item x="4"/>
        <item x="8"/>
        <item x="10"/>
        <item x="2"/>
        <item x="5"/>
        <item x="9"/>
        <item x="0"/>
        <item t="default"/>
      </items>
    </pivotField>
    <pivotField showAll="0"/>
    <pivotField showAll="0"/>
    <pivotField numFmtId="1" showAll="0"/>
    <pivotField showAll="0"/>
    <pivotField showAll="0"/>
    <pivotField showAll="0"/>
    <pivotField numFmtId="1" showAll="0"/>
    <pivotField dataField="1" numFmtId="1" showAll="0"/>
    <pivotField dataField="1" numFmtId="1" showAll="0"/>
    <pivotField showAll="0"/>
    <pivotField showAll="0"/>
    <pivotField showAll="0">
      <items count="13">
        <item x="11"/>
        <item x="2"/>
        <item x="9"/>
        <item x="1"/>
        <item x="4"/>
        <item x="0"/>
        <item x="5"/>
        <item x="7"/>
        <item x="10"/>
        <item x="6"/>
        <item x="8"/>
        <item x="3"/>
        <item t="default"/>
      </items>
    </pivotField>
    <pivotField showAll="0"/>
    <pivotField numFmtId="166" showAll="0">
      <items count="149">
        <item x="50"/>
        <item m="1" x="116"/>
        <item m="1" x="85"/>
        <item m="1" x="117"/>
        <item m="1" x="99"/>
        <item x="72"/>
        <item m="1" x="146"/>
        <item m="1" x="121"/>
        <item m="1" x="126"/>
        <item m="1" x="89"/>
        <item m="1" x="109"/>
        <item m="1" x="129"/>
        <item x="48"/>
        <item x="64"/>
        <item x="47"/>
        <item x="10"/>
        <item m="1" x="92"/>
        <item m="1" x="108"/>
        <item m="1" x="143"/>
        <item x="71"/>
        <item m="1" x="107"/>
        <item m="1" x="111"/>
        <item m="1" x="112"/>
        <item m="1" x="90"/>
        <item m="1" x="84"/>
        <item x="31"/>
        <item m="1" x="97"/>
        <item x="44"/>
        <item m="1" x="110"/>
        <item m="1" x="142"/>
        <item m="1" x="127"/>
        <item m="1" x="130"/>
        <item x="28"/>
        <item m="1" x="141"/>
        <item m="1" x="118"/>
        <item m="1" x="94"/>
        <item m="1" x="120"/>
        <item m="1" x="88"/>
        <item x="16"/>
        <item m="1" x="100"/>
        <item x="24"/>
        <item x="4"/>
        <item x="25"/>
        <item x="7"/>
        <item m="1" x="137"/>
        <item m="1" x="113"/>
        <item x="41"/>
        <item x="70"/>
        <item m="1" x="144"/>
        <item m="1" x="133"/>
        <item m="1" x="134"/>
        <item m="1" x="104"/>
        <item m="1" x="82"/>
        <item m="1" x="140"/>
        <item m="1" x="138"/>
        <item m="1" x="105"/>
        <item m="1" x="91"/>
        <item x="23"/>
        <item m="1" x="103"/>
        <item m="1" x="115"/>
        <item m="1" x="131"/>
        <item m="1" x="96"/>
        <item m="1" x="87"/>
        <item m="1" x="135"/>
        <item m="1" x="139"/>
        <item m="1" x="125"/>
        <item m="1" x="98"/>
        <item x="27"/>
        <item m="1" x="124"/>
        <item m="1" x="106"/>
        <item m="1" x="147"/>
        <item m="1" x="101"/>
        <item m="1" x="119"/>
        <item m="1" x="145"/>
        <item x="40"/>
        <item m="1" x="128"/>
        <item m="1" x="102"/>
        <item m="1" x="83"/>
        <item m="1" x="86"/>
        <item x="65"/>
        <item m="1" x="123"/>
        <item m="1" x="114"/>
        <item m="1" x="81"/>
        <item m="1" x="93"/>
        <item m="1" x="122"/>
        <item m="1" x="95"/>
        <item m="1" x="132"/>
        <item m="1" x="136"/>
        <item x="49"/>
        <item x="0"/>
        <item x="1"/>
        <item x="2"/>
        <item x="3"/>
        <item x="5"/>
        <item x="6"/>
        <item x="8"/>
        <item x="9"/>
        <item x="11"/>
        <item x="12"/>
        <item x="13"/>
        <item x="14"/>
        <item x="15"/>
        <item x="17"/>
        <item x="18"/>
        <item x="19"/>
        <item x="20"/>
        <item x="21"/>
        <item x="22"/>
        <item x="26"/>
        <item x="29"/>
        <item x="30"/>
        <item x="32"/>
        <item x="33"/>
        <item x="34"/>
        <item x="35"/>
        <item x="36"/>
        <item x="37"/>
        <item x="38"/>
        <item x="39"/>
        <item x="42"/>
        <item x="43"/>
        <item x="45"/>
        <item x="46"/>
        <item x="51"/>
        <item x="52"/>
        <item x="53"/>
        <item x="54"/>
        <item x="55"/>
        <item x="56"/>
        <item x="57"/>
        <item x="58"/>
        <item x="59"/>
        <item x="60"/>
        <item x="61"/>
        <item x="62"/>
        <item x="63"/>
        <item x="66"/>
        <item x="67"/>
        <item x="68"/>
        <item x="69"/>
        <item x="73"/>
        <item x="74"/>
        <item x="75"/>
        <item x="76"/>
        <item x="77"/>
        <item x="78"/>
        <item x="79"/>
        <item x="80"/>
        <item t="default"/>
      </items>
    </pivotField>
    <pivotField numFmtId="10" showAll="0"/>
    <pivotField showAll="0">
      <items count="369">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x="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8"/>
  </rowFields>
  <rowItems count="13">
    <i>
      <x v="1"/>
    </i>
    <i>
      <x v="2"/>
    </i>
    <i>
      <x v="3"/>
    </i>
    <i>
      <x v="4"/>
    </i>
    <i>
      <x v="5"/>
    </i>
    <i>
      <x v="6"/>
    </i>
    <i>
      <x v="7"/>
    </i>
    <i>
      <x v="8"/>
    </i>
    <i>
      <x v="9"/>
    </i>
    <i>
      <x v="10"/>
    </i>
    <i>
      <x v="11"/>
    </i>
    <i>
      <x v="12"/>
    </i>
    <i t="grand">
      <x/>
    </i>
  </rowItems>
  <colFields count="1">
    <field x="-2"/>
  </colFields>
  <colItems count="2">
    <i>
      <x/>
    </i>
    <i i="1">
      <x v="1"/>
    </i>
  </colItems>
  <dataFields count="2">
    <dataField name="Sum of Total Cost" fld="9" baseField="0" baseItem="0" numFmtId="1"/>
    <dataField name="Sum of Profit" fld="10"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52D18A-093B-4B80-A834-F76763514585}" name="PivotTable6"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12" firstHeaderRow="1" firstDataRow="1" firstDataCol="1"/>
  <pivotFields count="19">
    <pivotField showAll="0"/>
    <pivotField showAll="0">
      <items count="16">
        <item x="1"/>
        <item x="6"/>
        <item x="14"/>
        <item x="7"/>
        <item x="3"/>
        <item x="11"/>
        <item x="13"/>
        <item x="12"/>
        <item x="4"/>
        <item x="8"/>
        <item x="10"/>
        <item x="2"/>
        <item x="5"/>
        <item x="9"/>
        <item x="0"/>
        <item t="default"/>
      </items>
    </pivotField>
    <pivotField axis="axisRow" showAll="0" sortType="ascending">
      <items count="9">
        <item x="3"/>
        <item x="7"/>
        <item x="6"/>
        <item x="2"/>
        <item x="1"/>
        <item x="0"/>
        <item x="4"/>
        <item x="5"/>
        <item t="default"/>
      </items>
      <autoSortScope>
        <pivotArea dataOnly="0" outline="0" fieldPosition="0">
          <references count="1">
            <reference field="4294967294" count="1" selected="0">
              <x v="0"/>
            </reference>
          </references>
        </pivotArea>
      </autoSortScope>
    </pivotField>
    <pivotField showAll="0"/>
    <pivotField numFmtId="1" showAll="0"/>
    <pivotField showAll="0"/>
    <pivotField showAll="0"/>
    <pivotField showAll="0"/>
    <pivotField numFmtId="1" showAll="0"/>
    <pivotField numFmtId="1" showAll="0"/>
    <pivotField numFmtId="1" showAll="0"/>
    <pivotField showAll="0"/>
    <pivotField showAll="0"/>
    <pivotField showAll="0">
      <items count="13">
        <item x="11"/>
        <item x="2"/>
        <item x="9"/>
        <item x="1"/>
        <item x="4"/>
        <item x="0"/>
        <item x="5"/>
        <item x="7"/>
        <item x="10"/>
        <item x="6"/>
        <item x="8"/>
        <item x="3"/>
        <item t="default"/>
      </items>
    </pivotField>
    <pivotField showAll="0"/>
    <pivotField numFmtId="166" showAll="0">
      <items count="149">
        <item x="50"/>
        <item m="1" x="116"/>
        <item m="1" x="85"/>
        <item m="1" x="117"/>
        <item m="1" x="99"/>
        <item x="72"/>
        <item m="1" x="146"/>
        <item m="1" x="121"/>
        <item m="1" x="126"/>
        <item m="1" x="89"/>
        <item m="1" x="109"/>
        <item m="1" x="129"/>
        <item x="48"/>
        <item x="64"/>
        <item x="47"/>
        <item x="10"/>
        <item m="1" x="92"/>
        <item m="1" x="108"/>
        <item m="1" x="143"/>
        <item x="71"/>
        <item m="1" x="107"/>
        <item m="1" x="111"/>
        <item m="1" x="112"/>
        <item m="1" x="90"/>
        <item m="1" x="84"/>
        <item x="31"/>
        <item m="1" x="97"/>
        <item x="44"/>
        <item m="1" x="110"/>
        <item m="1" x="142"/>
        <item m="1" x="127"/>
        <item m="1" x="130"/>
        <item x="28"/>
        <item m="1" x="141"/>
        <item m="1" x="118"/>
        <item m="1" x="94"/>
        <item m="1" x="120"/>
        <item m="1" x="88"/>
        <item x="16"/>
        <item m="1" x="100"/>
        <item x="24"/>
        <item x="4"/>
        <item x="25"/>
        <item x="7"/>
        <item m="1" x="137"/>
        <item m="1" x="113"/>
        <item x="41"/>
        <item x="70"/>
        <item m="1" x="144"/>
        <item m="1" x="133"/>
        <item m="1" x="134"/>
        <item m="1" x="104"/>
        <item m="1" x="82"/>
        <item m="1" x="140"/>
        <item m="1" x="138"/>
        <item m="1" x="105"/>
        <item m="1" x="91"/>
        <item x="23"/>
        <item m="1" x="103"/>
        <item m="1" x="115"/>
        <item m="1" x="131"/>
        <item m="1" x="96"/>
        <item m="1" x="87"/>
        <item m="1" x="135"/>
        <item m="1" x="139"/>
        <item m="1" x="125"/>
        <item m="1" x="98"/>
        <item x="27"/>
        <item m="1" x="124"/>
        <item m="1" x="106"/>
        <item m="1" x="147"/>
        <item m="1" x="101"/>
        <item m="1" x="119"/>
        <item m="1" x="145"/>
        <item x="40"/>
        <item m="1" x="128"/>
        <item m="1" x="102"/>
        <item m="1" x="83"/>
        <item m="1" x="86"/>
        <item x="65"/>
        <item m="1" x="123"/>
        <item m="1" x="114"/>
        <item m="1" x="81"/>
        <item m="1" x="93"/>
        <item m="1" x="122"/>
        <item m="1" x="95"/>
        <item m="1" x="132"/>
        <item m="1" x="136"/>
        <item x="49"/>
        <item x="0"/>
        <item x="1"/>
        <item x="2"/>
        <item x="3"/>
        <item x="5"/>
        <item x="6"/>
        <item x="8"/>
        <item x="9"/>
        <item x="11"/>
        <item x="12"/>
        <item x="13"/>
        <item x="14"/>
        <item x="15"/>
        <item x="17"/>
        <item x="18"/>
        <item x="19"/>
        <item x="20"/>
        <item x="21"/>
        <item x="22"/>
        <item x="26"/>
        <item x="29"/>
        <item x="30"/>
        <item x="32"/>
        <item x="33"/>
        <item x="34"/>
        <item x="35"/>
        <item x="36"/>
        <item x="37"/>
        <item x="38"/>
        <item x="39"/>
        <item x="42"/>
        <item x="43"/>
        <item x="45"/>
        <item x="46"/>
        <item x="51"/>
        <item x="52"/>
        <item x="53"/>
        <item x="54"/>
        <item x="55"/>
        <item x="56"/>
        <item x="57"/>
        <item x="58"/>
        <item x="59"/>
        <item x="60"/>
        <item x="61"/>
        <item x="62"/>
        <item x="63"/>
        <item x="66"/>
        <item x="67"/>
        <item x="68"/>
        <item x="69"/>
        <item x="73"/>
        <item x="74"/>
        <item x="75"/>
        <item x="76"/>
        <item x="77"/>
        <item x="78"/>
        <item x="79"/>
        <item x="80"/>
        <item t="default"/>
      </items>
    </pivotField>
    <pivotField dataField="1" numFmtId="10"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9">
    <i>
      <x v="1"/>
    </i>
    <i>
      <x v="2"/>
    </i>
    <i>
      <x v="5"/>
    </i>
    <i>
      <x v="7"/>
    </i>
    <i>
      <x v="6"/>
    </i>
    <i>
      <x v="3"/>
    </i>
    <i>
      <x v="4"/>
    </i>
    <i>
      <x/>
    </i>
    <i t="grand">
      <x/>
    </i>
  </rowItems>
  <colItems count="1">
    <i/>
  </colItems>
  <dataFields count="1">
    <dataField name="Sum of % profit" fld="16" baseField="0" baseItem="0" numFmtId="10"/>
  </dataFields>
  <chartFormats count="2">
    <chartFormat chart="0"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48462C-60BF-4C7B-8ED9-556770140A61}" name="PivotTable7" cacheId="46"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12">
  <location ref="A3:B8" firstHeaderRow="1" firstDataRow="1" firstDataCol="1"/>
  <pivotFields count="19">
    <pivotField showAll="0"/>
    <pivotField axis="axisRow" showAll="0" measureFilter="1" sortType="ascending">
      <items count="16">
        <item x="1"/>
        <item x="6"/>
        <item x="14"/>
        <item x="7"/>
        <item x="3"/>
        <item x="11"/>
        <item x="13"/>
        <item x="12"/>
        <item x="4"/>
        <item x="8"/>
        <item x="10"/>
        <item x="2"/>
        <item x="5"/>
        <item x="9"/>
        <item x="0"/>
        <item t="default"/>
      </items>
      <autoSortScope>
        <pivotArea dataOnly="0" outline="0" fieldPosition="0">
          <references count="1">
            <reference field="4294967294" count="1" selected="0">
              <x v="0"/>
            </reference>
          </references>
        </pivotArea>
      </autoSortScope>
    </pivotField>
    <pivotField showAll="0"/>
    <pivotField showAll="0"/>
    <pivotField numFmtId="1" showAll="0"/>
    <pivotField showAll="0"/>
    <pivotField showAll="0"/>
    <pivotField showAll="0"/>
    <pivotField numFmtId="1" showAll="0"/>
    <pivotField numFmtId="1" showAll="0"/>
    <pivotField dataField="1" numFmtId="1" showAll="0"/>
    <pivotField showAll="0"/>
    <pivotField showAll="0"/>
    <pivotField showAll="0">
      <items count="13">
        <item x="11"/>
        <item x="2"/>
        <item x="9"/>
        <item x="1"/>
        <item x="4"/>
        <item x="0"/>
        <item x="5"/>
        <item x="7"/>
        <item x="10"/>
        <item x="6"/>
        <item x="8"/>
        <item x="3"/>
        <item t="default"/>
      </items>
    </pivotField>
    <pivotField showAll="0"/>
    <pivotField numFmtId="166" showAll="0">
      <items count="149">
        <item x="50"/>
        <item m="1" x="116"/>
        <item m="1" x="85"/>
        <item m="1" x="117"/>
        <item m="1" x="99"/>
        <item x="72"/>
        <item m="1" x="146"/>
        <item m="1" x="121"/>
        <item m="1" x="126"/>
        <item m="1" x="89"/>
        <item m="1" x="109"/>
        <item m="1" x="129"/>
        <item x="48"/>
        <item x="64"/>
        <item x="47"/>
        <item x="10"/>
        <item m="1" x="92"/>
        <item m="1" x="108"/>
        <item m="1" x="143"/>
        <item x="71"/>
        <item m="1" x="107"/>
        <item m="1" x="111"/>
        <item m="1" x="112"/>
        <item m="1" x="90"/>
        <item m="1" x="84"/>
        <item x="31"/>
        <item m="1" x="97"/>
        <item x="44"/>
        <item m="1" x="110"/>
        <item m="1" x="142"/>
        <item m="1" x="127"/>
        <item m="1" x="130"/>
        <item x="28"/>
        <item m="1" x="141"/>
        <item m="1" x="118"/>
        <item m="1" x="94"/>
        <item m="1" x="120"/>
        <item m="1" x="88"/>
        <item x="16"/>
        <item m="1" x="100"/>
        <item x="24"/>
        <item x="4"/>
        <item x="25"/>
        <item x="7"/>
        <item m="1" x="137"/>
        <item m="1" x="113"/>
        <item x="41"/>
        <item x="70"/>
        <item m="1" x="144"/>
        <item m="1" x="133"/>
        <item m="1" x="134"/>
        <item m="1" x="104"/>
        <item m="1" x="82"/>
        <item m="1" x="140"/>
        <item m="1" x="138"/>
        <item m="1" x="105"/>
        <item m="1" x="91"/>
        <item x="23"/>
        <item m="1" x="103"/>
        <item m="1" x="115"/>
        <item m="1" x="131"/>
        <item m="1" x="96"/>
        <item m="1" x="87"/>
        <item m="1" x="135"/>
        <item m="1" x="139"/>
        <item m="1" x="125"/>
        <item m="1" x="98"/>
        <item x="27"/>
        <item m="1" x="124"/>
        <item m="1" x="106"/>
        <item m="1" x="147"/>
        <item m="1" x="101"/>
        <item m="1" x="119"/>
        <item m="1" x="145"/>
        <item x="40"/>
        <item m="1" x="128"/>
        <item m="1" x="102"/>
        <item m="1" x="83"/>
        <item m="1" x="86"/>
        <item x="65"/>
        <item m="1" x="123"/>
        <item m="1" x="114"/>
        <item m="1" x="81"/>
        <item m="1" x="93"/>
        <item m="1" x="122"/>
        <item m="1" x="95"/>
        <item m="1" x="132"/>
        <item m="1" x="136"/>
        <item x="49"/>
        <item x="0"/>
        <item x="1"/>
        <item x="2"/>
        <item x="3"/>
        <item x="5"/>
        <item x="6"/>
        <item x="8"/>
        <item x="9"/>
        <item x="11"/>
        <item x="12"/>
        <item x="13"/>
        <item x="14"/>
        <item x="15"/>
        <item x="17"/>
        <item x="18"/>
        <item x="19"/>
        <item x="20"/>
        <item x="21"/>
        <item x="22"/>
        <item x="26"/>
        <item x="29"/>
        <item x="30"/>
        <item x="32"/>
        <item x="33"/>
        <item x="34"/>
        <item x="35"/>
        <item x="36"/>
        <item x="37"/>
        <item x="38"/>
        <item x="39"/>
        <item x="42"/>
        <item x="43"/>
        <item x="45"/>
        <item x="46"/>
        <item x="51"/>
        <item x="52"/>
        <item x="53"/>
        <item x="54"/>
        <item x="55"/>
        <item x="56"/>
        <item x="57"/>
        <item x="58"/>
        <item x="59"/>
        <item x="60"/>
        <item x="61"/>
        <item x="62"/>
        <item x="63"/>
        <item x="66"/>
        <item x="67"/>
        <item x="68"/>
        <item x="69"/>
        <item x="73"/>
        <item x="74"/>
        <item x="75"/>
        <item x="76"/>
        <item x="77"/>
        <item x="78"/>
        <item x="79"/>
        <item x="80"/>
        <item t="default"/>
      </items>
    </pivotField>
    <pivotField numFmtId="10"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v="11"/>
    </i>
    <i>
      <x v="1"/>
    </i>
    <i>
      <x v="7"/>
    </i>
    <i>
      <x v="2"/>
    </i>
    <i>
      <x v="9"/>
    </i>
  </rowItems>
  <colItems count="1">
    <i/>
  </colItems>
  <dataFields count="1">
    <dataField name="Sum of Profit" fld="10" baseField="0" baseItem="0" numFmtId="1"/>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28"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FA5701-B1DE-423E-9D73-DECE7BF26D37}" name="PivotTable8" cacheId="4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A3:B9" firstHeaderRow="1" firstDataRow="1" firstDataCol="1"/>
  <pivotFields count="19">
    <pivotField showAll="0"/>
    <pivotField showAll="0">
      <items count="16">
        <item x="1"/>
        <item x="6"/>
        <item x="14"/>
        <item x="7"/>
        <item x="3"/>
        <item x="11"/>
        <item x="13"/>
        <item x="12"/>
        <item x="4"/>
        <item x="8"/>
        <item x="10"/>
        <item x="2"/>
        <item x="5"/>
        <item x="9"/>
        <item x="0"/>
        <item t="default"/>
      </items>
    </pivotField>
    <pivotField showAll="0"/>
    <pivotField showAll="0"/>
    <pivotField numFmtId="1" showAll="0"/>
    <pivotField showAll="0"/>
    <pivotField showAll="0"/>
    <pivotField showAll="0"/>
    <pivotField numFmtId="1" showAll="0"/>
    <pivotField numFmtId="1" showAll="0"/>
    <pivotField dataField="1" numFmtId="1" showAll="0"/>
    <pivotField showAll="0"/>
    <pivotField axis="axisRow" showAll="0" measureFilter="1" sortType="ascending">
      <items count="15">
        <item x="10"/>
        <item x="2"/>
        <item x="6"/>
        <item x="11"/>
        <item x="3"/>
        <item x="7"/>
        <item x="8"/>
        <item x="5"/>
        <item x="4"/>
        <item x="9"/>
        <item x="1"/>
        <item x="12"/>
        <item x="13"/>
        <item x="0"/>
        <item t="default"/>
      </items>
      <autoSortScope>
        <pivotArea dataOnly="0" outline="0" fieldPosition="0">
          <references count="1">
            <reference field="4294967294" count="1" selected="0">
              <x v="0"/>
            </reference>
          </references>
        </pivotArea>
      </autoSortScope>
    </pivotField>
    <pivotField showAll="0">
      <items count="13">
        <item x="11"/>
        <item x="2"/>
        <item x="9"/>
        <item x="1"/>
        <item x="4"/>
        <item x="0"/>
        <item x="5"/>
        <item x="7"/>
        <item x="10"/>
        <item x="6"/>
        <item x="8"/>
        <item x="3"/>
        <item t="default"/>
      </items>
    </pivotField>
    <pivotField showAll="0"/>
    <pivotField numFmtId="166" showAll="0">
      <items count="149">
        <item x="50"/>
        <item m="1" x="116"/>
        <item m="1" x="85"/>
        <item m="1" x="117"/>
        <item m="1" x="99"/>
        <item x="72"/>
        <item m="1" x="146"/>
        <item m="1" x="121"/>
        <item m="1" x="126"/>
        <item m="1" x="89"/>
        <item m="1" x="109"/>
        <item m="1" x="129"/>
        <item x="48"/>
        <item x="64"/>
        <item x="47"/>
        <item x="10"/>
        <item m="1" x="92"/>
        <item m="1" x="108"/>
        <item m="1" x="143"/>
        <item x="71"/>
        <item m="1" x="107"/>
        <item m="1" x="111"/>
        <item m="1" x="112"/>
        <item m="1" x="90"/>
        <item m="1" x="84"/>
        <item x="31"/>
        <item m="1" x="97"/>
        <item x="44"/>
        <item m="1" x="110"/>
        <item m="1" x="142"/>
        <item m="1" x="127"/>
        <item m="1" x="130"/>
        <item x="28"/>
        <item m="1" x="141"/>
        <item m="1" x="118"/>
        <item m="1" x="94"/>
        <item m="1" x="120"/>
        <item m="1" x="88"/>
        <item x="16"/>
        <item m="1" x="100"/>
        <item x="24"/>
        <item x="4"/>
        <item x="25"/>
        <item x="7"/>
        <item m="1" x="137"/>
        <item m="1" x="113"/>
        <item x="41"/>
        <item x="70"/>
        <item m="1" x="144"/>
        <item m="1" x="133"/>
        <item m="1" x="134"/>
        <item m="1" x="104"/>
        <item m="1" x="82"/>
        <item m="1" x="140"/>
        <item m="1" x="138"/>
        <item m="1" x="105"/>
        <item m="1" x="91"/>
        <item x="23"/>
        <item m="1" x="103"/>
        <item m="1" x="115"/>
        <item m="1" x="131"/>
        <item m="1" x="96"/>
        <item m="1" x="87"/>
        <item m="1" x="135"/>
        <item m="1" x="139"/>
        <item m="1" x="125"/>
        <item m="1" x="98"/>
        <item x="27"/>
        <item m="1" x="124"/>
        <item m="1" x="106"/>
        <item m="1" x="147"/>
        <item m="1" x="101"/>
        <item m="1" x="119"/>
        <item m="1" x="145"/>
        <item x="40"/>
        <item m="1" x="128"/>
        <item m="1" x="102"/>
        <item m="1" x="83"/>
        <item m="1" x="86"/>
        <item x="65"/>
        <item m="1" x="123"/>
        <item m="1" x="114"/>
        <item m="1" x="81"/>
        <item m="1" x="93"/>
        <item m="1" x="122"/>
        <item m="1" x="95"/>
        <item m="1" x="132"/>
        <item m="1" x="136"/>
        <item x="49"/>
        <item x="0"/>
        <item x="1"/>
        <item x="2"/>
        <item x="3"/>
        <item x="5"/>
        <item x="6"/>
        <item x="8"/>
        <item x="9"/>
        <item x="11"/>
        <item x="12"/>
        <item x="13"/>
        <item x="14"/>
        <item x="15"/>
        <item x="17"/>
        <item x="18"/>
        <item x="19"/>
        <item x="20"/>
        <item x="21"/>
        <item x="22"/>
        <item x="26"/>
        <item x="29"/>
        <item x="30"/>
        <item x="32"/>
        <item x="33"/>
        <item x="34"/>
        <item x="35"/>
        <item x="36"/>
        <item x="37"/>
        <item x="38"/>
        <item x="39"/>
        <item x="42"/>
        <item x="43"/>
        <item x="45"/>
        <item x="46"/>
        <item x="51"/>
        <item x="52"/>
        <item x="53"/>
        <item x="54"/>
        <item x="55"/>
        <item x="56"/>
        <item x="57"/>
        <item x="58"/>
        <item x="59"/>
        <item x="60"/>
        <item x="61"/>
        <item x="62"/>
        <item x="63"/>
        <item x="66"/>
        <item x="67"/>
        <item x="68"/>
        <item x="69"/>
        <item x="73"/>
        <item x="74"/>
        <item x="75"/>
        <item x="76"/>
        <item x="77"/>
        <item x="78"/>
        <item x="79"/>
        <item x="80"/>
        <item t="default"/>
      </items>
    </pivotField>
    <pivotField numFmtId="10"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6">
    <i>
      <x v="10"/>
    </i>
    <i>
      <x/>
    </i>
    <i>
      <x v="3"/>
    </i>
    <i>
      <x v="5"/>
    </i>
    <i>
      <x v="1"/>
    </i>
    <i t="grand">
      <x/>
    </i>
  </rowItems>
  <colItems count="1">
    <i/>
  </colItems>
  <dataFields count="1">
    <dataField name="Sum of Profit" fld="10" baseField="0" baseItem="0" numFmtId="1"/>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CA74B11-CB1F-4CC1-A383-C672529D0813}" sourceName="State">
  <pivotTables>
    <pivotTable tabId="9" name="PivotTable6"/>
    <pivotTable tabId="14" name="PivotTable1"/>
    <pivotTable tabId="21" name="PivotTable6"/>
    <pivotTable tabId="17" name="PivotTable4"/>
    <pivotTable tabId="3" name="PivotTable2"/>
    <pivotTable tabId="3" name="PivotTable3"/>
    <pivotTable tabId="24" name="PivotTable7"/>
    <pivotTable tabId="25" name="PivotTable8"/>
  </pivotTables>
  <data>
    <tabular pivotCacheId="291727391">
      <items count="12">
        <i x="11" s="1"/>
        <i x="2" s="1"/>
        <i x="9" s="1"/>
        <i x="1" s="1"/>
        <i x="4" s="1"/>
        <i x="0" s="1"/>
        <i x="5" s="1"/>
        <i x="7" s="1"/>
        <i x="10" s="1"/>
        <i x="6" s="1"/>
        <i x="8"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icine_Name" xr10:uid="{2734300D-B2BD-4218-AB5D-8938C09B4580}" sourceName="Medicine Name">
  <pivotTables>
    <pivotTable tabId="17" name="PivotTable4"/>
    <pivotTable tabId="14" name="PivotTable1"/>
    <pivotTable tabId="21" name="PivotTable6"/>
    <pivotTable tabId="25" name="PivotTable8"/>
    <pivotTable tabId="9" name="PivotTable6"/>
    <pivotTable tabId="3" name="PivotTable2"/>
    <pivotTable tabId="3" name="PivotTable3"/>
    <pivotTable tabId="24" name="PivotTable7"/>
  </pivotTables>
  <data>
    <tabular pivotCacheId="291727391">
      <items count="15">
        <i x="1" s="1"/>
        <i x="6" s="1"/>
        <i x="14" s="1"/>
        <i x="7" s="1"/>
        <i x="3" s="1"/>
        <i x="11" s="1"/>
        <i x="13" s="1"/>
        <i x="12" s="1"/>
        <i x="4" s="1"/>
        <i x="8" s="1"/>
        <i x="10" s="1"/>
        <i x="2" s="1"/>
        <i x="5" s="1"/>
        <i x="9"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7C45D34F-9922-4FB1-B482-73B1F80C79FE}" sourceName="state">
  <extLst>
    <x:ext xmlns:x15="http://schemas.microsoft.com/office/spreadsheetml/2010/11/main" uri="{2F2917AC-EB37-4324-AD4E-5DD8C200BD13}">
      <x15:tableSlicerCache tableId="5"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27FEBE3B-498B-4F0B-957C-3F99462EDE05}" cache="Slicer_State" caption="State" startItem="2" rowHeight="257175"/>
  <slicer name="Medicine Name" xr10:uid="{C9F45042-9C9E-4357-9ADD-9C31A53A953B}" cache="Slicer_Medicine_Name" caption="Medicine Name" startItem="5"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2" xr10:uid="{19FD89FC-C49D-4580-8E78-5E3D96F6CE68}" cache="Slicer_state1" caption="state" startItem="2"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1" xr10:uid="{6BC31FB9-87A3-4743-A0F1-EED21F0AB23F}" cache="Slicer_state1" caption="state"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91C6F0-5D65-492B-AF40-74175B76EEC9}" name="Table1" displayName="Table1" ref="A1:Q101" totalsRowShown="0">
  <autoFilter ref="A1:Q101" xr:uid="{C691C6F0-5D65-492B-AF40-74175B76EEC9}"/>
  <tableColumns count="17">
    <tableColumn id="1" xr3:uid="{4A519F5C-7C17-46FE-ACA6-40C7B7DAB06F}" name="Medicine ID"/>
    <tableColumn id="2" xr3:uid="{305ECEA4-3783-44D5-BD78-3C244570769F}" name="Medicine Name" dataDxfId="15"/>
    <tableColumn id="3" xr3:uid="{06728AA8-93D3-4B34-A39B-467AAF3D0C3C}" name="Company Name" dataDxfId="14"/>
    <tableColumn id="4" xr3:uid="{D3B5FF59-9F91-402E-A75F-CD026FE5A186}" name="Patient Name" dataDxfId="13"/>
    <tableColumn id="5" xr3:uid="{5B29CD86-65DD-4ED1-A0C6-0641C4E5AADD}" name="Age" dataDxfId="12"/>
    <tableColumn id="16" xr3:uid="{C49B8093-DF0E-4C0F-A9AE-12222220D5B0}" name="Age Group" dataDxfId="0">
      <calculatedColumnFormula>IF(Table1[[#This Row],[Age]]&lt;=20,"Teenager",IF(Table1[[#This Row],[Age]]&lt;=50,"Adult","Senior"))</calculatedColumnFormula>
    </tableColumn>
    <tableColumn id="6" xr3:uid="{66BB9807-92F9-4520-B041-1C82B0A437A5}" name="Sex" dataDxfId="11"/>
    <tableColumn id="7" xr3:uid="{43D4EA86-F33C-4F74-8A2F-35B1E5C3CB2C}" name="Disease" dataDxfId="10"/>
    <tableColumn id="8" xr3:uid="{20DEBE11-D4A3-4B4B-B8CE-ECC7F4CF198F}" name="Original Price" dataDxfId="9"/>
    <tableColumn id="9" xr3:uid="{911ACF73-0DB0-41F2-965D-CCAFC2F6C89E}" name="Total Cost" dataDxfId="8"/>
    <tableColumn id="10" xr3:uid="{4085857C-0710-4B72-9431-69F4CFB502EB}" name="Profit" dataDxfId="7"/>
    <tableColumn id="11" xr3:uid="{3B3D8D6D-4701-4C60-8607-7FCECA3066B3}" name="Area" dataDxfId="6"/>
    <tableColumn id="12" xr3:uid="{19236D45-6F75-4020-9CC4-F6F8C2375008}" name="City" dataDxfId="5"/>
    <tableColumn id="13" xr3:uid="{B2EFB5F0-36A9-42DE-9148-71163F113711}" name="State" dataDxfId="4"/>
    <tableColumn id="14" xr3:uid="{9ACF7F69-59EB-4790-A37D-C6F7435443C6}" name="Country" dataDxfId="3"/>
    <tableColumn id="15" xr3:uid="{30D61E97-0BB2-43A0-BE67-C7760338E5DB}" name="Date" dataDxfId="2">
      <calculatedColumnFormula>DATE(2023,RANDBETWEEN(1,12),RANDBETWEEN(1,28))</calculatedColumnFormula>
    </tableColumn>
    <tableColumn id="17" xr3:uid="{31F3565A-403E-4759-B0B5-0DCBCC02C6EF}" name="% profit" dataDxfId="1">
      <calculatedColumnFormula>Table1[[#This Row],[Profit]]/Table1[[#This Row],[Total Cost]]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166343F-D275-419A-830E-69EDF284216B}" name="Table5" displayName="Table5" ref="D19:F31" totalsRowShown="0">
  <autoFilter ref="D19:F31" xr:uid="{4166343F-D275-419A-830E-69EDF284216B}"/>
  <sortState xmlns:xlrd2="http://schemas.microsoft.com/office/spreadsheetml/2017/richdata2" ref="D20:F31">
    <sortCondition descending="1" ref="F19:F31"/>
  </sortState>
  <tableColumns count="3">
    <tableColumn id="1" xr3:uid="{C113E7D6-7D7A-43E2-9F1E-533D1A3DB83D}" name="state" dataDxfId="17"/>
    <tableColumn id="2" xr3:uid="{43504F15-8727-4BFB-9A37-F2C5A4F16982}" name="country"/>
    <tableColumn id="3" xr3:uid="{AEE818F0-B7AF-4585-9FA8-961EFD9BAE2D}" name="% of profit" dataDxfId="1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68DAE09-4995-4923-AB77-1C1D80D8DA50}" sourceName="Date">
  <pivotTables>
    <pivotTable tabId="17" name="PivotTable4"/>
    <pivotTable tabId="14" name="PivotTable1"/>
    <pivotTable tabId="21" name="PivotTable6"/>
    <pivotTable tabId="25" name="PivotTable8"/>
    <pivotTable tabId="9" name="PivotTable6"/>
    <pivotTable tabId="3" name="PivotTable2"/>
    <pivotTable tabId="3" name="PivotTable3"/>
    <pivotTable tabId="24" name="PivotTable7"/>
  </pivotTables>
  <state minimalRefreshVersion="6" lastRefreshVersion="6" pivotCacheId="291727391"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1DBB5CB6-6D5C-416A-8EE1-FAAB6A86D7F9}" cache="NativeTimeline_Date" caption="Date" level="1" selectionLevel="1" scrollPosition="2023-01-01T00:00:00"/>
</timelines>
</file>

<file path=xl/worksheets/_rels/sheet1.xml.rels><?xml version="1.0" encoding="UTF-8" standalone="yes"?>
<Relationships xmlns="http://schemas.openxmlformats.org/package/2006/relationships"><Relationship Id="rId3" Type="http://schemas.microsoft.com/office/2007/relationships/slicer" Target="../slicers/slicer2.xml"/><Relationship Id="rId2" Type="http://schemas.microsoft.com/office/2007/relationships/slicer" Target="../slicers/slicer1.xml"/><Relationship Id="rId1" Type="http://schemas.openxmlformats.org/officeDocument/2006/relationships/drawing" Target="../drawings/drawing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96750-B0A5-4461-A6F7-41380E162FB9}">
  <dimension ref="A1:U35"/>
  <sheetViews>
    <sheetView tabSelected="1" topLeftCell="A15" workbookViewId="0">
      <selection activeCell="K37" sqref="K37"/>
    </sheetView>
  </sheetViews>
  <sheetFormatPr defaultRowHeight="15" x14ac:dyDescent="0.25"/>
  <cols>
    <col min="1" max="16384" width="9.140625" style="24"/>
  </cols>
  <sheetData>
    <row r="1" spans="1:21" x14ac:dyDescent="0.25">
      <c r="A1" s="25"/>
      <c r="B1" s="25"/>
      <c r="C1" s="25"/>
      <c r="D1" s="25"/>
      <c r="E1" s="15" t="s">
        <v>400</v>
      </c>
      <c r="F1" s="16"/>
      <c r="G1" s="16"/>
      <c r="H1" s="16"/>
      <c r="I1" s="16"/>
      <c r="J1" s="16"/>
      <c r="K1" s="16"/>
      <c r="L1" s="16"/>
      <c r="M1" s="16"/>
      <c r="N1" s="16"/>
      <c r="O1" s="16"/>
      <c r="P1" s="17"/>
      <c r="Q1" s="25"/>
      <c r="R1" s="25"/>
      <c r="S1" s="25"/>
      <c r="T1" s="25"/>
      <c r="U1" s="25"/>
    </row>
    <row r="2" spans="1:21" x14ac:dyDescent="0.25">
      <c r="A2" s="25"/>
      <c r="B2" s="25"/>
      <c r="C2" s="25"/>
      <c r="D2" s="25"/>
      <c r="E2" s="18"/>
      <c r="F2" s="19"/>
      <c r="G2" s="19"/>
      <c r="H2" s="19"/>
      <c r="I2" s="19"/>
      <c r="J2" s="19"/>
      <c r="K2" s="19"/>
      <c r="L2" s="19"/>
      <c r="M2" s="19"/>
      <c r="N2" s="19"/>
      <c r="O2" s="19"/>
      <c r="P2" s="20"/>
      <c r="Q2" s="25"/>
      <c r="R2" s="25"/>
      <c r="S2" s="25"/>
      <c r="T2" s="25"/>
      <c r="U2" s="25"/>
    </row>
    <row r="3" spans="1:21" ht="15.75" thickBot="1" x14ac:dyDescent="0.3">
      <c r="A3" s="25"/>
      <c r="B3" s="25"/>
      <c r="C3" s="25"/>
      <c r="D3" s="25"/>
      <c r="E3" s="21"/>
      <c r="F3" s="22"/>
      <c r="G3" s="22"/>
      <c r="H3" s="22"/>
      <c r="I3" s="22"/>
      <c r="J3" s="22"/>
      <c r="K3" s="22"/>
      <c r="L3" s="22"/>
      <c r="M3" s="22"/>
      <c r="N3" s="22"/>
      <c r="O3" s="22"/>
      <c r="P3" s="23"/>
      <c r="Q3" s="25"/>
      <c r="R3" s="25"/>
      <c r="S3" s="25"/>
      <c r="T3" s="25"/>
      <c r="U3" s="25"/>
    </row>
    <row r="4" spans="1:21" x14ac:dyDescent="0.25">
      <c r="A4" s="25"/>
      <c r="B4" s="25"/>
      <c r="C4" s="25"/>
      <c r="D4" s="25"/>
      <c r="E4" s="25"/>
      <c r="F4" s="25"/>
      <c r="G4" s="25"/>
      <c r="H4" s="25"/>
      <c r="I4" s="25"/>
      <c r="J4" s="25"/>
      <c r="K4" s="25"/>
      <c r="L4" s="25"/>
      <c r="M4" s="25"/>
      <c r="N4" s="25"/>
      <c r="O4" s="25"/>
      <c r="P4" s="25"/>
      <c r="Q4" s="25"/>
      <c r="R4" s="25"/>
      <c r="S4" s="25"/>
      <c r="T4" s="25"/>
      <c r="U4" s="25"/>
    </row>
    <row r="5" spans="1:21" x14ac:dyDescent="0.25">
      <c r="A5" s="25"/>
      <c r="B5" s="25"/>
      <c r="C5" s="25"/>
      <c r="D5" s="25"/>
      <c r="E5" s="25"/>
      <c r="F5" s="25"/>
      <c r="G5" s="25"/>
      <c r="H5" s="25"/>
      <c r="I5" s="25"/>
      <c r="J5" s="25"/>
      <c r="K5" s="25"/>
      <c r="L5" s="25"/>
      <c r="M5" s="25"/>
      <c r="N5" s="25"/>
      <c r="O5" s="25"/>
      <c r="P5" s="25"/>
      <c r="Q5" s="25"/>
      <c r="R5" s="25"/>
      <c r="S5" s="25"/>
      <c r="T5" s="25"/>
      <c r="U5" s="25"/>
    </row>
    <row r="6" spans="1:21" x14ac:dyDescent="0.25">
      <c r="A6" s="25"/>
      <c r="B6" s="25"/>
      <c r="C6" s="25"/>
      <c r="D6" s="25"/>
      <c r="E6" s="25"/>
      <c r="F6" s="25"/>
      <c r="G6" s="25"/>
      <c r="H6" s="25"/>
      <c r="I6" s="25"/>
      <c r="J6" s="25"/>
      <c r="K6" s="25"/>
      <c r="L6" s="25"/>
      <c r="M6" s="25"/>
      <c r="N6" s="25"/>
      <c r="O6" s="25"/>
      <c r="P6" s="25"/>
      <c r="Q6" s="25"/>
      <c r="R6" s="25"/>
      <c r="S6" s="25"/>
      <c r="T6" s="25"/>
      <c r="U6" s="25"/>
    </row>
    <row r="7" spans="1:21" x14ac:dyDescent="0.25">
      <c r="A7" s="25"/>
      <c r="B7" s="25"/>
      <c r="C7" s="25"/>
      <c r="D7" s="25"/>
      <c r="E7" s="25"/>
      <c r="F7" s="25"/>
      <c r="G7" s="25"/>
      <c r="H7" s="25"/>
      <c r="I7" s="25"/>
      <c r="J7" s="25"/>
      <c r="K7" s="25"/>
      <c r="L7" s="25"/>
      <c r="M7" s="25"/>
      <c r="N7" s="25"/>
      <c r="O7" s="25"/>
      <c r="P7" s="25"/>
      <c r="Q7" s="25"/>
      <c r="R7" s="25"/>
      <c r="S7" s="25"/>
      <c r="T7" s="25"/>
      <c r="U7" s="25"/>
    </row>
    <row r="8" spans="1:21" x14ac:dyDescent="0.25">
      <c r="A8" s="25"/>
      <c r="B8" s="25"/>
      <c r="C8" s="25"/>
      <c r="D8" s="25"/>
      <c r="E8" s="25"/>
      <c r="F8" s="25"/>
      <c r="G8" s="25"/>
      <c r="H8" s="25"/>
      <c r="I8" s="25"/>
      <c r="J8" s="25"/>
      <c r="K8" s="25"/>
      <c r="L8" s="25"/>
      <c r="M8" s="25"/>
      <c r="N8" s="25"/>
      <c r="O8" s="25"/>
      <c r="P8" s="25"/>
      <c r="Q8" s="25"/>
      <c r="R8" s="25"/>
      <c r="S8" s="25"/>
      <c r="T8" s="25"/>
      <c r="U8" s="25"/>
    </row>
    <row r="9" spans="1:21" x14ac:dyDescent="0.25">
      <c r="A9" s="25"/>
      <c r="B9" s="25"/>
      <c r="C9" s="25"/>
      <c r="D9" s="25"/>
      <c r="E9" s="25"/>
      <c r="F9" s="25"/>
      <c r="G9" s="25"/>
      <c r="H9" s="25"/>
      <c r="I9" s="25"/>
      <c r="J9" s="25"/>
      <c r="K9" s="25"/>
      <c r="L9" s="25"/>
      <c r="M9" s="25"/>
      <c r="N9" s="25"/>
      <c r="O9" s="25"/>
      <c r="P9" s="25"/>
      <c r="Q9" s="25"/>
      <c r="R9" s="25"/>
      <c r="S9" s="25"/>
      <c r="T9" s="25"/>
      <c r="U9" s="25"/>
    </row>
    <row r="10" spans="1:21" x14ac:dyDescent="0.25">
      <c r="A10" s="25"/>
      <c r="B10" s="25"/>
      <c r="C10" s="25"/>
      <c r="D10" s="25"/>
      <c r="E10" s="25"/>
      <c r="F10" s="25"/>
      <c r="G10" s="25"/>
      <c r="H10" s="25"/>
      <c r="I10" s="25"/>
      <c r="J10" s="25"/>
      <c r="K10" s="25"/>
      <c r="L10" s="25"/>
      <c r="M10" s="25"/>
      <c r="N10" s="25"/>
      <c r="O10" s="25"/>
      <c r="P10" s="25"/>
      <c r="Q10" s="25"/>
      <c r="R10" s="25"/>
      <c r="S10" s="25"/>
      <c r="T10" s="25"/>
      <c r="U10" s="25"/>
    </row>
    <row r="11" spans="1:21" x14ac:dyDescent="0.25">
      <c r="A11" s="25"/>
      <c r="B11" s="25"/>
      <c r="C11" s="25"/>
      <c r="D11" s="25"/>
      <c r="E11" s="25"/>
      <c r="F11" s="25"/>
      <c r="G11" s="25"/>
      <c r="H11" s="25"/>
      <c r="I11" s="25"/>
      <c r="J11" s="25"/>
      <c r="K11" s="25"/>
      <c r="L11" s="25"/>
      <c r="M11" s="25"/>
      <c r="N11" s="25"/>
      <c r="O11" s="25"/>
      <c r="P11" s="25"/>
      <c r="Q11" s="25"/>
      <c r="R11" s="25"/>
      <c r="S11" s="25"/>
      <c r="T11" s="25"/>
      <c r="U11" s="25"/>
    </row>
    <row r="12" spans="1:21" x14ac:dyDescent="0.25">
      <c r="A12" s="25"/>
      <c r="B12" s="25"/>
      <c r="C12" s="25"/>
      <c r="D12" s="25"/>
      <c r="E12" s="25"/>
      <c r="F12" s="25"/>
      <c r="G12" s="25"/>
      <c r="H12" s="25"/>
      <c r="I12" s="25"/>
      <c r="J12" s="25"/>
      <c r="K12" s="25"/>
      <c r="L12" s="25"/>
      <c r="M12" s="25"/>
      <c r="N12" s="25"/>
      <c r="O12" s="25"/>
      <c r="P12" s="25"/>
      <c r="Q12" s="25"/>
      <c r="R12" s="25"/>
      <c r="S12" s="25"/>
      <c r="T12" s="25"/>
      <c r="U12" s="25"/>
    </row>
    <row r="13" spans="1:21" x14ac:dyDescent="0.25">
      <c r="A13" s="25"/>
      <c r="B13" s="25"/>
      <c r="C13" s="25"/>
      <c r="D13" s="25"/>
      <c r="E13" s="25"/>
      <c r="F13" s="25"/>
      <c r="G13" s="25"/>
      <c r="H13" s="25"/>
      <c r="I13" s="25"/>
      <c r="J13" s="25"/>
      <c r="K13" s="25"/>
      <c r="L13" s="25"/>
      <c r="M13" s="25"/>
      <c r="N13" s="25"/>
      <c r="O13" s="25"/>
      <c r="P13" s="25"/>
      <c r="Q13" s="25"/>
      <c r="R13" s="25"/>
      <c r="S13" s="25"/>
      <c r="T13" s="25"/>
      <c r="U13" s="25"/>
    </row>
    <row r="14" spans="1:21" x14ac:dyDescent="0.25">
      <c r="A14" s="25"/>
      <c r="B14" s="25"/>
      <c r="C14" s="25"/>
      <c r="D14" s="25"/>
      <c r="E14" s="25"/>
      <c r="F14" s="25"/>
      <c r="G14" s="25"/>
      <c r="H14" s="25"/>
      <c r="I14" s="25"/>
      <c r="J14" s="25"/>
      <c r="K14" s="25"/>
      <c r="L14" s="25"/>
      <c r="M14" s="25"/>
      <c r="N14" s="25"/>
      <c r="O14" s="25"/>
      <c r="P14" s="25"/>
      <c r="Q14" s="25"/>
      <c r="R14" s="25"/>
      <c r="S14" s="25"/>
      <c r="T14" s="25"/>
      <c r="U14" s="25"/>
    </row>
    <row r="15" spans="1:21" x14ac:dyDescent="0.25">
      <c r="A15" s="25"/>
      <c r="B15" s="25"/>
      <c r="C15" s="25"/>
      <c r="D15" s="25"/>
      <c r="E15" s="25"/>
      <c r="F15" s="25"/>
      <c r="G15" s="25"/>
      <c r="H15" s="25"/>
      <c r="I15" s="25"/>
      <c r="J15" s="25"/>
      <c r="K15" s="25"/>
      <c r="L15" s="25"/>
      <c r="M15" s="25"/>
      <c r="N15" s="25"/>
      <c r="O15" s="25"/>
      <c r="P15" s="25"/>
      <c r="Q15" s="25"/>
      <c r="R15" s="25"/>
      <c r="S15" s="25"/>
      <c r="T15" s="25"/>
      <c r="U15" s="25"/>
    </row>
    <row r="16" spans="1:21" x14ac:dyDescent="0.25">
      <c r="A16" s="25"/>
      <c r="B16" s="25"/>
      <c r="C16" s="25"/>
      <c r="D16" s="25"/>
      <c r="E16" s="25"/>
      <c r="F16" s="25"/>
      <c r="G16" s="25"/>
      <c r="H16" s="25"/>
      <c r="I16" s="25"/>
      <c r="J16" s="25"/>
      <c r="K16" s="25"/>
      <c r="L16" s="25"/>
      <c r="M16" s="25"/>
      <c r="N16" s="25"/>
      <c r="O16" s="25"/>
      <c r="P16" s="25"/>
      <c r="Q16" s="25"/>
      <c r="R16" s="25"/>
      <c r="S16" s="25"/>
      <c r="T16" s="25"/>
      <c r="U16" s="25"/>
    </row>
    <row r="17" spans="1:21" x14ac:dyDescent="0.25">
      <c r="A17" s="25"/>
      <c r="B17" s="25"/>
      <c r="C17" s="25"/>
      <c r="D17" s="25"/>
      <c r="E17" s="25"/>
      <c r="F17" s="25"/>
      <c r="G17" s="25"/>
      <c r="H17" s="25"/>
      <c r="I17" s="25"/>
      <c r="J17" s="25"/>
      <c r="K17" s="25"/>
      <c r="L17" s="25"/>
      <c r="M17" s="25"/>
      <c r="N17" s="25"/>
      <c r="O17" s="25"/>
      <c r="P17" s="25"/>
      <c r="Q17" s="25"/>
      <c r="R17" s="25"/>
      <c r="S17" s="25"/>
      <c r="T17" s="25"/>
      <c r="U17" s="25"/>
    </row>
    <row r="18" spans="1:21" x14ac:dyDescent="0.25">
      <c r="A18" s="25"/>
      <c r="B18" s="25"/>
      <c r="C18" s="25"/>
      <c r="D18" s="25"/>
      <c r="E18" s="25"/>
      <c r="F18" s="25"/>
      <c r="G18" s="25"/>
      <c r="H18" s="25"/>
      <c r="I18" s="25"/>
      <c r="J18" s="25"/>
      <c r="K18" s="25"/>
      <c r="L18" s="25"/>
      <c r="M18" s="25"/>
      <c r="N18" s="25"/>
      <c r="O18" s="25"/>
      <c r="P18" s="25"/>
      <c r="Q18" s="25"/>
      <c r="R18" s="25"/>
      <c r="S18" s="25"/>
      <c r="T18" s="25"/>
      <c r="U18" s="25"/>
    </row>
    <row r="19" spans="1:21" x14ac:dyDescent="0.25">
      <c r="A19" s="25"/>
      <c r="B19" s="25"/>
      <c r="C19" s="25"/>
      <c r="D19" s="25"/>
      <c r="E19" s="25"/>
      <c r="F19" s="25"/>
      <c r="G19" s="25"/>
      <c r="H19" s="25"/>
      <c r="I19" s="25"/>
      <c r="J19" s="25"/>
      <c r="K19" s="25"/>
      <c r="L19" s="25"/>
      <c r="M19" s="25"/>
      <c r="N19" s="25"/>
      <c r="O19" s="25"/>
      <c r="P19" s="25"/>
      <c r="Q19" s="25"/>
      <c r="R19" s="25"/>
      <c r="S19" s="25"/>
      <c r="T19" s="25"/>
      <c r="U19" s="25"/>
    </row>
    <row r="20" spans="1:21" x14ac:dyDescent="0.25">
      <c r="A20" s="25"/>
      <c r="B20" s="25"/>
      <c r="C20" s="25"/>
      <c r="D20" s="25"/>
      <c r="E20" s="25"/>
      <c r="F20" s="25"/>
      <c r="G20" s="25"/>
      <c r="H20" s="25"/>
      <c r="I20" s="25"/>
      <c r="J20" s="25"/>
      <c r="K20" s="25"/>
      <c r="L20" s="25"/>
      <c r="M20" s="25"/>
      <c r="N20" s="25"/>
      <c r="O20" s="25"/>
      <c r="P20" s="25"/>
      <c r="Q20" s="25"/>
      <c r="R20" s="25"/>
      <c r="S20" s="25"/>
      <c r="T20" s="25"/>
      <c r="U20" s="25"/>
    </row>
    <row r="21" spans="1:21" x14ac:dyDescent="0.25">
      <c r="A21" s="25"/>
      <c r="B21" s="25"/>
      <c r="C21" s="25"/>
      <c r="D21" s="25"/>
      <c r="E21" s="25"/>
      <c r="F21" s="25"/>
      <c r="G21" s="25"/>
      <c r="H21" s="25"/>
      <c r="I21" s="25"/>
      <c r="J21" s="25"/>
      <c r="K21" s="25"/>
      <c r="L21" s="25"/>
      <c r="M21" s="25"/>
      <c r="N21" s="25"/>
      <c r="O21" s="25"/>
      <c r="P21" s="25"/>
      <c r="Q21" s="25"/>
      <c r="R21" s="25"/>
      <c r="S21" s="25"/>
      <c r="T21" s="25"/>
      <c r="U21" s="25"/>
    </row>
    <row r="22" spans="1:21" x14ac:dyDescent="0.25">
      <c r="A22" s="25"/>
      <c r="B22" s="25"/>
      <c r="C22" s="25"/>
      <c r="D22" s="25"/>
      <c r="E22" s="25"/>
      <c r="F22" s="25"/>
      <c r="G22" s="25"/>
      <c r="H22" s="25"/>
      <c r="I22" s="25"/>
      <c r="J22" s="25"/>
      <c r="K22" s="25"/>
      <c r="L22" s="25"/>
      <c r="M22" s="25"/>
      <c r="N22" s="25"/>
      <c r="O22" s="25"/>
      <c r="P22" s="25"/>
      <c r="Q22" s="25"/>
      <c r="R22" s="25"/>
      <c r="S22" s="25"/>
      <c r="T22" s="25"/>
      <c r="U22" s="25"/>
    </row>
    <row r="23" spans="1:21" x14ac:dyDescent="0.25">
      <c r="A23" s="25"/>
      <c r="B23" s="25"/>
      <c r="C23" s="25"/>
      <c r="D23" s="25"/>
      <c r="E23" s="25"/>
      <c r="F23" s="25"/>
      <c r="G23" s="25"/>
      <c r="H23" s="25"/>
      <c r="I23" s="25"/>
      <c r="J23" s="25"/>
      <c r="K23" s="25"/>
      <c r="L23" s="25"/>
      <c r="M23" s="25"/>
      <c r="N23" s="25"/>
      <c r="O23" s="25"/>
      <c r="P23" s="25"/>
      <c r="Q23" s="25"/>
      <c r="R23" s="25"/>
      <c r="S23" s="25"/>
      <c r="T23" s="25"/>
      <c r="U23" s="25"/>
    </row>
    <row r="24" spans="1:21" x14ac:dyDescent="0.25">
      <c r="A24" s="25"/>
      <c r="B24" s="25"/>
      <c r="C24" s="25"/>
      <c r="D24" s="25"/>
      <c r="E24" s="25"/>
      <c r="F24" s="25"/>
      <c r="G24" s="25"/>
      <c r="H24" s="25"/>
      <c r="I24" s="25"/>
      <c r="J24" s="25"/>
      <c r="K24" s="25"/>
      <c r="L24" s="25"/>
      <c r="M24" s="25"/>
      <c r="N24" s="25"/>
      <c r="O24" s="25"/>
      <c r="P24" s="25"/>
      <c r="Q24" s="25"/>
      <c r="R24" s="25"/>
      <c r="S24" s="25"/>
      <c r="T24" s="25"/>
      <c r="U24" s="25"/>
    </row>
    <row r="25" spans="1:21" x14ac:dyDescent="0.25">
      <c r="A25" s="25"/>
      <c r="B25" s="25"/>
      <c r="C25" s="25"/>
      <c r="D25" s="25"/>
      <c r="E25" s="25"/>
      <c r="F25" s="25"/>
      <c r="G25" s="25"/>
      <c r="H25" s="25"/>
      <c r="I25" s="25"/>
      <c r="J25" s="25"/>
      <c r="K25" s="25"/>
      <c r="L25" s="25"/>
      <c r="M25" s="25"/>
      <c r="N25" s="25"/>
      <c r="O25" s="25"/>
      <c r="P25" s="25"/>
      <c r="Q25" s="25"/>
      <c r="R25" s="25"/>
      <c r="S25" s="25"/>
      <c r="T25" s="25"/>
      <c r="U25" s="25"/>
    </row>
    <row r="26" spans="1:21" x14ac:dyDescent="0.25">
      <c r="A26" s="25"/>
      <c r="B26" s="25"/>
      <c r="C26" s="25"/>
      <c r="D26" s="25"/>
      <c r="E26" s="25"/>
      <c r="F26" s="25"/>
      <c r="G26" s="25"/>
      <c r="H26" s="25"/>
      <c r="I26" s="25"/>
      <c r="J26" s="25"/>
      <c r="K26" s="25"/>
      <c r="L26" s="25"/>
      <c r="M26" s="25"/>
      <c r="N26" s="25"/>
      <c r="O26" s="25"/>
      <c r="P26" s="25"/>
      <c r="Q26" s="25"/>
      <c r="R26" s="25"/>
      <c r="S26" s="25"/>
      <c r="T26" s="25"/>
      <c r="U26" s="25"/>
    </row>
    <row r="27" spans="1:21" x14ac:dyDescent="0.25">
      <c r="A27" s="25"/>
      <c r="B27" s="25"/>
      <c r="C27" s="25"/>
      <c r="D27" s="25"/>
      <c r="E27" s="25"/>
      <c r="F27" s="25"/>
      <c r="G27" s="25"/>
      <c r="H27" s="25"/>
      <c r="I27" s="25"/>
      <c r="J27" s="25"/>
      <c r="K27" s="25"/>
      <c r="L27" s="25"/>
      <c r="M27" s="25"/>
      <c r="N27" s="25"/>
      <c r="O27" s="25"/>
      <c r="P27" s="25"/>
      <c r="Q27" s="25"/>
      <c r="R27" s="25"/>
      <c r="S27" s="25"/>
      <c r="T27" s="25"/>
      <c r="U27" s="25"/>
    </row>
    <row r="29" spans="1:21" ht="15.75" thickBot="1" x14ac:dyDescent="0.3"/>
    <row r="30" spans="1:21" ht="15.75" thickBot="1" x14ac:dyDescent="0.3">
      <c r="C30" s="27" t="s">
        <v>401</v>
      </c>
    </row>
    <row r="31" spans="1:21" x14ac:dyDescent="0.25">
      <c r="C31" s="26" t="s">
        <v>402</v>
      </c>
      <c r="D31" s="26"/>
      <c r="E31" s="26"/>
      <c r="F31" s="26"/>
      <c r="G31" s="26"/>
      <c r="H31" s="26"/>
      <c r="I31" s="26"/>
      <c r="J31" s="26"/>
      <c r="K31" s="26"/>
      <c r="L31" s="26"/>
      <c r="M31" s="26"/>
      <c r="N31" s="26"/>
      <c r="O31" s="26"/>
      <c r="P31" s="26"/>
    </row>
    <row r="32" spans="1:21" x14ac:dyDescent="0.25">
      <c r="C32" s="26" t="s">
        <v>403</v>
      </c>
      <c r="D32" s="26"/>
      <c r="E32" s="26"/>
      <c r="F32" s="26"/>
      <c r="G32" s="26"/>
      <c r="H32" s="26"/>
      <c r="I32" s="26"/>
      <c r="J32" s="26"/>
    </row>
    <row r="33" spans="3:11" x14ac:dyDescent="0.25">
      <c r="C33" s="26" t="s">
        <v>404</v>
      </c>
      <c r="D33" s="26"/>
      <c r="E33" s="26"/>
      <c r="F33" s="26"/>
      <c r="G33" s="26"/>
      <c r="H33" s="26"/>
      <c r="I33" s="26"/>
      <c r="J33" s="26"/>
      <c r="K33" s="26"/>
    </row>
    <row r="34" spans="3:11" x14ac:dyDescent="0.25">
      <c r="C34" s="26" t="s">
        <v>405</v>
      </c>
      <c r="D34" s="26"/>
      <c r="E34" s="26"/>
      <c r="F34" s="26"/>
      <c r="G34" s="26"/>
      <c r="H34" s="26"/>
      <c r="I34" s="26"/>
      <c r="J34" s="26"/>
    </row>
    <row r="35" spans="3:11" x14ac:dyDescent="0.25">
      <c r="C35" s="26" t="s">
        <v>406</v>
      </c>
      <c r="D35" s="26"/>
      <c r="E35" s="26"/>
      <c r="F35" s="26"/>
    </row>
  </sheetData>
  <mergeCells count="6">
    <mergeCell ref="C35:F35"/>
    <mergeCell ref="E1:P3"/>
    <mergeCell ref="C31:P31"/>
    <mergeCell ref="C32:J32"/>
    <mergeCell ref="C33:K33"/>
    <mergeCell ref="C34:J34"/>
  </mergeCell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DD894E5A-0FD7-40EF-A088-24D71CC2F0CB}">
          <x14:formula1>
            <xm:f>data!$N$2:$N$101</xm:f>
          </x14:formula1>
          <xm:sqref>R25</xm:sqref>
        </x14:dataValidation>
      </x14:dataValidations>
    </ext>
    <ext xmlns:x14="http://schemas.microsoft.com/office/spreadsheetml/2009/9/main" uri="{A8765BA9-456A-4dab-B4F3-ACF838C121DE}">
      <x14:slicerList>
        <x14:slicer r:id="rId2"/>
      </x14:slicerList>
    </ext>
    <ext xmlns:x15="http://schemas.microsoft.com/office/spreadsheetml/2010/11/main" uri="{3A4CF648-6AED-40f4-86FF-DC5316D8AED3}">
      <x14:slicerList xmlns:x14="http://schemas.microsoft.com/office/spreadsheetml/2009/9/main">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8696F-3571-425A-9538-CEC5BAE2E25F}">
  <dimension ref="A1:Q101"/>
  <sheetViews>
    <sheetView topLeftCell="C77" workbookViewId="0">
      <selection activeCell="K18" sqref="K18"/>
    </sheetView>
  </sheetViews>
  <sheetFormatPr defaultRowHeight="15" x14ac:dyDescent="0.25"/>
  <cols>
    <col min="1" max="1" width="13.85546875" customWidth="1"/>
    <col min="2" max="2" width="18.85546875" bestFit="1" customWidth="1"/>
    <col min="3" max="3" width="18.28515625" bestFit="1" customWidth="1"/>
    <col min="4" max="4" width="16.140625" bestFit="1" customWidth="1"/>
    <col min="5" max="5" width="6.5703125" bestFit="1" customWidth="1"/>
    <col min="6" max="6" width="12.5703125" bestFit="1" customWidth="1"/>
    <col min="7" max="7" width="6.42578125" customWidth="1"/>
    <col min="8" max="8" width="13.28515625" bestFit="1" customWidth="1"/>
    <col min="9" max="9" width="15.140625" customWidth="1"/>
    <col min="10" max="10" width="12.28515625" customWidth="1"/>
    <col min="11" max="11" width="8.140625" customWidth="1"/>
    <col min="12" max="12" width="15.85546875" bestFit="1" customWidth="1"/>
    <col min="13" max="13" width="12.7109375" bestFit="1" customWidth="1"/>
    <col min="14" max="14" width="13.140625" bestFit="1" customWidth="1"/>
    <col min="15" max="15" width="10.42578125" customWidth="1"/>
    <col min="16" max="16" width="17.42578125" bestFit="1" customWidth="1"/>
  </cols>
  <sheetData>
    <row r="1" spans="1:17" x14ac:dyDescent="0.25">
      <c r="A1" t="s">
        <v>0</v>
      </c>
      <c r="B1" t="s">
        <v>1</v>
      </c>
      <c r="C1" t="s">
        <v>2</v>
      </c>
      <c r="D1" t="s">
        <v>3</v>
      </c>
      <c r="E1" t="s">
        <v>4</v>
      </c>
      <c r="F1" t="s">
        <v>380</v>
      </c>
      <c r="G1" t="s">
        <v>5</v>
      </c>
      <c r="H1" t="s">
        <v>6</v>
      </c>
      <c r="I1" t="s">
        <v>7</v>
      </c>
      <c r="J1" t="s">
        <v>8</v>
      </c>
      <c r="K1" t="s">
        <v>9</v>
      </c>
      <c r="L1" t="s">
        <v>10</v>
      </c>
      <c r="M1" t="s">
        <v>11</v>
      </c>
      <c r="N1" t="s">
        <v>12</v>
      </c>
      <c r="O1" t="s">
        <v>13</v>
      </c>
      <c r="P1" t="s">
        <v>379</v>
      </c>
      <c r="Q1" t="s">
        <v>381</v>
      </c>
    </row>
    <row r="2" spans="1:17" x14ac:dyDescent="0.25">
      <c r="A2" t="s">
        <v>14</v>
      </c>
      <c r="B2" s="1" t="s">
        <v>15</v>
      </c>
      <c r="C2" s="1" t="s">
        <v>16</v>
      </c>
      <c r="D2" s="1" t="s">
        <v>17</v>
      </c>
      <c r="E2" s="2">
        <v>32</v>
      </c>
      <c r="F2" s="2" t="str">
        <f>IF(Table1[[#This Row],[Age]]&lt;=20,"Teenager",IF(Table1[[#This Row],[Age]]&lt;=50,"Adult","Senior"))</f>
        <v>Adult</v>
      </c>
      <c r="G2" s="1" t="s">
        <v>18</v>
      </c>
      <c r="H2" s="1" t="s">
        <v>19</v>
      </c>
      <c r="I2" s="2">
        <v>50</v>
      </c>
      <c r="J2" s="2">
        <v>60</v>
      </c>
      <c r="K2" s="2">
        <v>10</v>
      </c>
      <c r="L2" s="1" t="s">
        <v>20</v>
      </c>
      <c r="M2" s="1" t="s">
        <v>21</v>
      </c>
      <c r="N2" s="1" t="s">
        <v>22</v>
      </c>
      <c r="O2" s="1" t="s">
        <v>23</v>
      </c>
      <c r="P2" s="13">
        <f t="shared" ref="P2:P65" ca="1" si="0">DATE(2023,RANDBETWEEN(1,12),RANDBETWEEN(1,28))</f>
        <v>45245</v>
      </c>
      <c r="Q2" s="11">
        <f>Table1[[#This Row],[Profit]]/Table1[[#This Row],[Total Cost]]</f>
        <v>0.16666666666666666</v>
      </c>
    </row>
    <row r="3" spans="1:17" x14ac:dyDescent="0.25">
      <c r="A3" t="s">
        <v>24</v>
      </c>
      <c r="B3" s="1" t="s">
        <v>25</v>
      </c>
      <c r="C3" s="1" t="s">
        <v>26</v>
      </c>
      <c r="D3" s="1" t="s">
        <v>27</v>
      </c>
      <c r="E3" s="2">
        <v>27</v>
      </c>
      <c r="F3" s="2" t="str">
        <f>IF(Table1[[#This Row],[Age]]&lt;=20,"Teenager",IF(Table1[[#This Row],[Age]]&lt;=50,"Adult","Senior"))</f>
        <v>Adult</v>
      </c>
      <c r="G3" s="1" t="s">
        <v>28</v>
      </c>
      <c r="H3" s="1" t="s">
        <v>29</v>
      </c>
      <c r="I3" s="2">
        <v>120</v>
      </c>
      <c r="J3" s="2">
        <v>150</v>
      </c>
      <c r="K3" s="2">
        <v>30</v>
      </c>
      <c r="L3" s="1" t="s">
        <v>30</v>
      </c>
      <c r="M3" s="1" t="s">
        <v>31</v>
      </c>
      <c r="N3" s="1" t="s">
        <v>22</v>
      </c>
      <c r="O3" s="1" t="s">
        <v>23</v>
      </c>
      <c r="P3" s="13">
        <f t="shared" ca="1" si="0"/>
        <v>45102</v>
      </c>
      <c r="Q3" s="11">
        <f>Table1[[#This Row],[Profit]]/Table1[[#This Row],[Total Cost]]</f>
        <v>0.2</v>
      </c>
    </row>
    <row r="4" spans="1:17" x14ac:dyDescent="0.25">
      <c r="A4" t="s">
        <v>32</v>
      </c>
      <c r="B4" s="1" t="s">
        <v>33</v>
      </c>
      <c r="C4" s="1" t="s">
        <v>34</v>
      </c>
      <c r="D4" s="1" t="s">
        <v>35</v>
      </c>
      <c r="E4" s="2">
        <v>45</v>
      </c>
      <c r="F4" s="2" t="str">
        <f>IF(Table1[[#This Row],[Age]]&lt;=20,"Teenager",IF(Table1[[#This Row],[Age]]&lt;=50,"Adult","Senior"))</f>
        <v>Adult</v>
      </c>
      <c r="G4" s="1" t="s">
        <v>18</v>
      </c>
      <c r="H4" s="1" t="s">
        <v>36</v>
      </c>
      <c r="I4" s="2">
        <v>200</v>
      </c>
      <c r="J4" s="2">
        <v>250</v>
      </c>
      <c r="K4" s="2">
        <v>50</v>
      </c>
      <c r="L4" s="1" t="s">
        <v>37</v>
      </c>
      <c r="M4" s="1" t="s">
        <v>21</v>
      </c>
      <c r="N4" s="1" t="s">
        <v>22</v>
      </c>
      <c r="O4" s="1" t="s">
        <v>23</v>
      </c>
      <c r="P4" s="13">
        <f t="shared" ca="1" si="0"/>
        <v>45242</v>
      </c>
      <c r="Q4" s="11">
        <f>Table1[[#This Row],[Profit]]/Table1[[#This Row],[Total Cost]]</f>
        <v>0.2</v>
      </c>
    </row>
    <row r="5" spans="1:17" x14ac:dyDescent="0.25">
      <c r="A5" t="s">
        <v>38</v>
      </c>
      <c r="B5" s="1" t="s">
        <v>39</v>
      </c>
      <c r="C5" s="1" t="s">
        <v>40</v>
      </c>
      <c r="D5" s="1" t="s">
        <v>41</v>
      </c>
      <c r="E5" s="2">
        <v>19</v>
      </c>
      <c r="F5" s="2" t="str">
        <f>IF(Table1[[#This Row],[Age]]&lt;=20,"Teenager",IF(Table1[[#This Row],[Age]]&lt;=50,"Adult","Senior"))</f>
        <v>Teenager</v>
      </c>
      <c r="G5" s="1" t="s">
        <v>28</v>
      </c>
      <c r="H5" s="1" t="s">
        <v>42</v>
      </c>
      <c r="I5" s="2">
        <v>80</v>
      </c>
      <c r="J5" s="2">
        <v>100</v>
      </c>
      <c r="K5" s="2">
        <v>20</v>
      </c>
      <c r="L5" s="1" t="s">
        <v>43</v>
      </c>
      <c r="M5" s="1" t="s">
        <v>44</v>
      </c>
      <c r="N5" s="1" t="s">
        <v>45</v>
      </c>
      <c r="O5" s="1" t="s">
        <v>23</v>
      </c>
      <c r="P5" s="13">
        <f t="shared" ca="1" si="0"/>
        <v>45203</v>
      </c>
      <c r="Q5" s="11">
        <f>Table1[[#This Row],[Profit]]/Table1[[#This Row],[Total Cost]]</f>
        <v>0.2</v>
      </c>
    </row>
    <row r="6" spans="1:17" x14ac:dyDescent="0.25">
      <c r="A6" t="s">
        <v>46</v>
      </c>
      <c r="B6" s="1" t="s">
        <v>47</v>
      </c>
      <c r="C6" s="1" t="s">
        <v>48</v>
      </c>
      <c r="D6" s="1" t="s">
        <v>49</v>
      </c>
      <c r="E6" s="2">
        <v>38</v>
      </c>
      <c r="F6" s="2" t="str">
        <f>IF(Table1[[#This Row],[Age]]&lt;=20,"Teenager",IF(Table1[[#This Row],[Age]]&lt;=50,"Adult","Senior"))</f>
        <v>Adult</v>
      </c>
      <c r="G6" s="1" t="s">
        <v>18</v>
      </c>
      <c r="H6" s="1" t="s">
        <v>50</v>
      </c>
      <c r="I6" s="2">
        <v>90</v>
      </c>
      <c r="J6" s="2">
        <v>110</v>
      </c>
      <c r="K6" s="2">
        <v>20</v>
      </c>
      <c r="L6" s="1" t="s">
        <v>51</v>
      </c>
      <c r="M6" s="1" t="s">
        <v>52</v>
      </c>
      <c r="N6" s="1" t="s">
        <v>52</v>
      </c>
      <c r="O6" s="1" t="s">
        <v>23</v>
      </c>
      <c r="P6" s="13">
        <f t="shared" ca="1" si="0"/>
        <v>44978</v>
      </c>
      <c r="Q6" s="11">
        <f>Table1[[#This Row],[Profit]]/Table1[[#This Row],[Total Cost]]</f>
        <v>0.18181818181818182</v>
      </c>
    </row>
    <row r="7" spans="1:17" x14ac:dyDescent="0.25">
      <c r="A7" t="s">
        <v>53</v>
      </c>
      <c r="B7" s="1" t="s">
        <v>54</v>
      </c>
      <c r="C7" s="1" t="s">
        <v>55</v>
      </c>
      <c r="D7" s="1" t="s">
        <v>369</v>
      </c>
      <c r="E7" s="2">
        <v>50</v>
      </c>
      <c r="F7" s="2" t="str">
        <f>IF(Table1[[#This Row],[Age]]&lt;=20,"Teenager",IF(Table1[[#This Row],[Age]]&lt;=50,"Adult","Senior"))</f>
        <v>Adult</v>
      </c>
      <c r="G7" s="1" t="s">
        <v>28</v>
      </c>
      <c r="H7" s="1" t="s">
        <v>56</v>
      </c>
      <c r="I7" s="2">
        <v>150</v>
      </c>
      <c r="J7" s="2">
        <v>180</v>
      </c>
      <c r="K7" s="2">
        <v>30</v>
      </c>
      <c r="L7" s="1" t="s">
        <v>57</v>
      </c>
      <c r="M7" s="1" t="s">
        <v>58</v>
      </c>
      <c r="N7" s="1" t="s">
        <v>59</v>
      </c>
      <c r="O7" s="1" t="s">
        <v>23</v>
      </c>
      <c r="P7" s="13">
        <f t="shared" ca="1" si="0"/>
        <v>45102</v>
      </c>
      <c r="Q7" s="11">
        <f>Table1[[#This Row],[Profit]]/Table1[[#This Row],[Total Cost]]</f>
        <v>0.16666666666666666</v>
      </c>
    </row>
    <row r="8" spans="1:17" x14ac:dyDescent="0.25">
      <c r="A8" t="s">
        <v>60</v>
      </c>
      <c r="B8" s="1" t="s">
        <v>61</v>
      </c>
      <c r="C8" s="1" t="s">
        <v>62</v>
      </c>
      <c r="D8" s="1" t="s">
        <v>63</v>
      </c>
      <c r="E8" s="2">
        <v>60</v>
      </c>
      <c r="F8" s="2" t="str">
        <f>IF(Table1[[#This Row],[Age]]&lt;=20,"Teenager",IF(Table1[[#This Row],[Age]]&lt;=50,"Adult","Senior"))</f>
        <v>Senior</v>
      </c>
      <c r="G8" s="1" t="s">
        <v>18</v>
      </c>
      <c r="H8" s="1" t="s">
        <v>64</v>
      </c>
      <c r="I8" s="2">
        <v>250</v>
      </c>
      <c r="J8" s="2">
        <v>300</v>
      </c>
      <c r="K8" s="2">
        <v>50</v>
      </c>
      <c r="L8" s="1" t="s">
        <v>65</v>
      </c>
      <c r="M8" s="1" t="s">
        <v>66</v>
      </c>
      <c r="N8" s="1" t="s">
        <v>67</v>
      </c>
      <c r="O8" s="1" t="s">
        <v>23</v>
      </c>
      <c r="P8" s="13">
        <f t="shared" ca="1" si="0"/>
        <v>45278</v>
      </c>
      <c r="Q8" s="11">
        <f>Table1[[#This Row],[Profit]]/Table1[[#This Row],[Total Cost]]</f>
        <v>0.16666666666666666</v>
      </c>
    </row>
    <row r="9" spans="1:17" x14ac:dyDescent="0.25">
      <c r="A9" t="s">
        <v>68</v>
      </c>
      <c r="B9" s="1" t="s">
        <v>69</v>
      </c>
      <c r="C9" s="1" t="s">
        <v>70</v>
      </c>
      <c r="D9" s="1" t="s">
        <v>71</v>
      </c>
      <c r="E9" s="2">
        <v>22</v>
      </c>
      <c r="F9" s="2" t="str">
        <f>IF(Table1[[#This Row],[Age]]&lt;=20,"Teenager",IF(Table1[[#This Row],[Age]]&lt;=50,"Adult","Senior"))</f>
        <v>Adult</v>
      </c>
      <c r="G9" s="1" t="s">
        <v>28</v>
      </c>
      <c r="H9" s="1" t="s">
        <v>29</v>
      </c>
      <c r="I9" s="2">
        <v>180</v>
      </c>
      <c r="J9" s="2">
        <v>220</v>
      </c>
      <c r="K9" s="2">
        <v>40</v>
      </c>
      <c r="L9" s="1" t="s">
        <v>72</v>
      </c>
      <c r="M9" s="1" t="s">
        <v>73</v>
      </c>
      <c r="N9" s="1" t="s">
        <v>74</v>
      </c>
      <c r="O9" s="1" t="s">
        <v>23</v>
      </c>
      <c r="P9" s="13">
        <f t="shared" ca="1" si="0"/>
        <v>45193</v>
      </c>
      <c r="Q9" s="11">
        <f>Table1[[#This Row],[Profit]]/Table1[[#This Row],[Total Cost]]</f>
        <v>0.18181818181818182</v>
      </c>
    </row>
    <row r="10" spans="1:17" x14ac:dyDescent="0.25">
      <c r="A10" t="s">
        <v>75</v>
      </c>
      <c r="B10" s="1" t="s">
        <v>76</v>
      </c>
      <c r="C10" s="1" t="s">
        <v>34</v>
      </c>
      <c r="D10" s="1" t="s">
        <v>77</v>
      </c>
      <c r="E10" s="2">
        <v>55</v>
      </c>
      <c r="F10" s="2" t="str">
        <f>IF(Table1[[#This Row],[Age]]&lt;=20,"Teenager",IF(Table1[[#This Row],[Age]]&lt;=50,"Adult","Senior"))</f>
        <v>Senior</v>
      </c>
      <c r="G10" s="1" t="s">
        <v>18</v>
      </c>
      <c r="H10" s="1" t="s">
        <v>36</v>
      </c>
      <c r="I10" s="2">
        <v>400</v>
      </c>
      <c r="J10" s="2">
        <v>480</v>
      </c>
      <c r="K10" s="2">
        <v>80</v>
      </c>
      <c r="L10" s="1" t="s">
        <v>78</v>
      </c>
      <c r="M10" s="1" t="s">
        <v>79</v>
      </c>
      <c r="N10" s="1" t="s">
        <v>80</v>
      </c>
      <c r="O10" s="1" t="s">
        <v>23</v>
      </c>
      <c r="P10" s="13">
        <f t="shared" ca="1" si="0"/>
        <v>45237</v>
      </c>
      <c r="Q10" s="11">
        <f>Table1[[#This Row],[Profit]]/Table1[[#This Row],[Total Cost]]</f>
        <v>0.16666666666666666</v>
      </c>
    </row>
    <row r="11" spans="1:17" x14ac:dyDescent="0.25">
      <c r="A11" t="s">
        <v>81</v>
      </c>
      <c r="B11" s="1" t="s">
        <v>82</v>
      </c>
      <c r="C11" s="1" t="s">
        <v>55</v>
      </c>
      <c r="D11" s="1" t="s">
        <v>83</v>
      </c>
      <c r="E11" s="2">
        <v>29</v>
      </c>
      <c r="F11" s="2" t="str">
        <f>IF(Table1[[#This Row],[Age]]&lt;=20,"Teenager",IF(Table1[[#This Row],[Age]]&lt;=50,"Adult","Senior"))</f>
        <v>Adult</v>
      </c>
      <c r="G11" s="1" t="s">
        <v>28</v>
      </c>
      <c r="H11" s="1" t="s">
        <v>56</v>
      </c>
      <c r="I11" s="2">
        <v>160</v>
      </c>
      <c r="J11" s="2">
        <v>200</v>
      </c>
      <c r="K11" s="2">
        <v>40</v>
      </c>
      <c r="L11" s="1" t="s">
        <v>84</v>
      </c>
      <c r="M11" s="1" t="s">
        <v>85</v>
      </c>
      <c r="N11" s="1" t="s">
        <v>86</v>
      </c>
      <c r="O11" s="1" t="s">
        <v>23</v>
      </c>
      <c r="P11" s="13">
        <f t="shared" ca="1" si="0"/>
        <v>44978</v>
      </c>
      <c r="Q11" s="11">
        <f>Table1[[#This Row],[Profit]]/Table1[[#This Row],[Total Cost]]</f>
        <v>0.2</v>
      </c>
    </row>
    <row r="12" spans="1:17" x14ac:dyDescent="0.25">
      <c r="A12" t="s">
        <v>87</v>
      </c>
      <c r="B12" s="1" t="s">
        <v>88</v>
      </c>
      <c r="C12" s="1" t="s">
        <v>40</v>
      </c>
      <c r="D12" s="1" t="s">
        <v>89</v>
      </c>
      <c r="E12" s="2">
        <v>34</v>
      </c>
      <c r="F12" s="2" t="str">
        <f>IF(Table1[[#This Row],[Age]]&lt;=20,"Teenager",IF(Table1[[#This Row],[Age]]&lt;=50,"Adult","Senior"))</f>
        <v>Adult</v>
      </c>
      <c r="G12" s="1" t="s">
        <v>18</v>
      </c>
      <c r="H12" s="1" t="s">
        <v>42</v>
      </c>
      <c r="I12" s="2">
        <v>90</v>
      </c>
      <c r="J12" s="2">
        <v>120</v>
      </c>
      <c r="K12" s="2">
        <v>30</v>
      </c>
      <c r="L12" s="1" t="s">
        <v>90</v>
      </c>
      <c r="M12" s="1" t="s">
        <v>91</v>
      </c>
      <c r="N12" s="1" t="s">
        <v>92</v>
      </c>
      <c r="O12" s="1" t="s">
        <v>23</v>
      </c>
      <c r="P12" s="13">
        <f t="shared" ca="1" si="0"/>
        <v>45121</v>
      </c>
      <c r="Q12" s="11">
        <f>Table1[[#This Row],[Profit]]/Table1[[#This Row],[Total Cost]]</f>
        <v>0.25</v>
      </c>
    </row>
    <row r="13" spans="1:17" x14ac:dyDescent="0.25">
      <c r="A13" t="s">
        <v>93</v>
      </c>
      <c r="B13" s="1" t="s">
        <v>94</v>
      </c>
      <c r="C13" s="1" t="s">
        <v>48</v>
      </c>
      <c r="D13" s="1" t="s">
        <v>95</v>
      </c>
      <c r="E13" s="2">
        <v>41</v>
      </c>
      <c r="F13" s="2" t="str">
        <f>IF(Table1[[#This Row],[Age]]&lt;=20,"Teenager",IF(Table1[[#This Row],[Age]]&lt;=50,"Adult","Senior"))</f>
        <v>Adult</v>
      </c>
      <c r="G13" s="1" t="s">
        <v>28</v>
      </c>
      <c r="H13" s="1" t="s">
        <v>96</v>
      </c>
      <c r="I13" s="2">
        <v>220</v>
      </c>
      <c r="J13" s="2">
        <v>270</v>
      </c>
      <c r="K13" s="2">
        <v>50</v>
      </c>
      <c r="L13" s="1" t="s">
        <v>97</v>
      </c>
      <c r="M13" s="1" t="s">
        <v>98</v>
      </c>
      <c r="N13" s="1" t="s">
        <v>99</v>
      </c>
      <c r="O13" s="1" t="s">
        <v>23</v>
      </c>
      <c r="P13" s="13">
        <f t="shared" ca="1" si="0"/>
        <v>45115</v>
      </c>
      <c r="Q13" s="11">
        <f>Table1[[#This Row],[Profit]]/Table1[[#This Row],[Total Cost]]</f>
        <v>0.18518518518518517</v>
      </c>
    </row>
    <row r="14" spans="1:17" x14ac:dyDescent="0.25">
      <c r="A14" t="s">
        <v>100</v>
      </c>
      <c r="B14" s="1" t="s">
        <v>101</v>
      </c>
      <c r="C14" s="1" t="s">
        <v>16</v>
      </c>
      <c r="D14" s="1" t="s">
        <v>102</v>
      </c>
      <c r="E14" s="2">
        <v>47</v>
      </c>
      <c r="F14" s="2" t="str">
        <f>IF(Table1[[#This Row],[Age]]&lt;=20,"Teenager",IF(Table1[[#This Row],[Age]]&lt;=50,"Adult","Senior"))</f>
        <v>Adult</v>
      </c>
      <c r="G14" s="1" t="s">
        <v>18</v>
      </c>
      <c r="H14" s="1" t="s">
        <v>103</v>
      </c>
      <c r="I14" s="2">
        <v>300</v>
      </c>
      <c r="J14" s="2">
        <v>360</v>
      </c>
      <c r="K14" s="2">
        <v>60</v>
      </c>
      <c r="L14" s="1" t="s">
        <v>104</v>
      </c>
      <c r="M14" s="1" t="s">
        <v>105</v>
      </c>
      <c r="N14" s="1" t="s">
        <v>106</v>
      </c>
      <c r="O14" s="1" t="s">
        <v>23</v>
      </c>
      <c r="P14" s="13">
        <f t="shared" ca="1" si="0"/>
        <v>45233</v>
      </c>
      <c r="Q14" s="11">
        <f>Table1[[#This Row],[Profit]]/Table1[[#This Row],[Total Cost]]</f>
        <v>0.16666666666666666</v>
      </c>
    </row>
    <row r="15" spans="1:17" x14ac:dyDescent="0.25">
      <c r="A15" t="s">
        <v>107</v>
      </c>
      <c r="B15" s="1" t="s">
        <v>108</v>
      </c>
      <c r="C15" s="1" t="s">
        <v>26</v>
      </c>
      <c r="D15" s="1" t="s">
        <v>109</v>
      </c>
      <c r="E15" s="2">
        <v>26</v>
      </c>
      <c r="F15" s="2" t="str">
        <f>IF(Table1[[#This Row],[Age]]&lt;=20,"Teenager",IF(Table1[[#This Row],[Age]]&lt;=50,"Adult","Senior"))</f>
        <v>Adult</v>
      </c>
      <c r="G15" s="1" t="s">
        <v>28</v>
      </c>
      <c r="H15" s="1" t="s">
        <v>29</v>
      </c>
      <c r="I15" s="2">
        <v>140</v>
      </c>
      <c r="J15" s="2">
        <v>180</v>
      </c>
      <c r="K15" s="2">
        <v>40</v>
      </c>
      <c r="L15" s="1" t="s">
        <v>110</v>
      </c>
      <c r="M15" s="1" t="s">
        <v>98</v>
      </c>
      <c r="N15" s="1" t="s">
        <v>99</v>
      </c>
      <c r="O15" s="1" t="s">
        <v>23</v>
      </c>
      <c r="P15" s="13">
        <f t="shared" ca="1" si="0"/>
        <v>44977</v>
      </c>
      <c r="Q15" s="11">
        <f>Table1[[#This Row],[Profit]]/Table1[[#This Row],[Total Cost]]</f>
        <v>0.22222222222222221</v>
      </c>
    </row>
    <row r="16" spans="1:17" x14ac:dyDescent="0.25">
      <c r="A16" t="s">
        <v>111</v>
      </c>
      <c r="B16" s="1" t="s">
        <v>112</v>
      </c>
      <c r="C16" s="1" t="s">
        <v>62</v>
      </c>
      <c r="D16" s="1" t="s">
        <v>113</v>
      </c>
      <c r="E16" s="2">
        <v>52</v>
      </c>
      <c r="F16" s="2" t="str">
        <f>IF(Table1[[#This Row],[Age]]&lt;=20,"Teenager",IF(Table1[[#This Row],[Age]]&lt;=50,"Adult","Senior"))</f>
        <v>Senior</v>
      </c>
      <c r="G16" s="1" t="s">
        <v>18</v>
      </c>
      <c r="H16" s="1" t="s">
        <v>114</v>
      </c>
      <c r="I16" s="2">
        <v>350</v>
      </c>
      <c r="J16" s="2">
        <v>420</v>
      </c>
      <c r="K16" s="2">
        <v>70</v>
      </c>
      <c r="L16" s="1" t="s">
        <v>115</v>
      </c>
      <c r="M16" s="1" t="s">
        <v>116</v>
      </c>
      <c r="N16" s="1" t="s">
        <v>22</v>
      </c>
      <c r="O16" s="1" t="s">
        <v>23</v>
      </c>
      <c r="P16" s="13">
        <f t="shared" ca="1" si="0"/>
        <v>44948</v>
      </c>
      <c r="Q16" s="11">
        <f>Table1[[#This Row],[Profit]]/Table1[[#This Row],[Total Cost]]</f>
        <v>0.16666666666666666</v>
      </c>
    </row>
    <row r="17" spans="1:17" x14ac:dyDescent="0.25">
      <c r="A17" t="s">
        <v>117</v>
      </c>
      <c r="B17" s="1" t="s">
        <v>15</v>
      </c>
      <c r="C17" s="1" t="s">
        <v>16</v>
      </c>
      <c r="D17" s="1" t="s">
        <v>118</v>
      </c>
      <c r="E17" s="2">
        <v>36</v>
      </c>
      <c r="F17" s="2" t="str">
        <f>IF(Table1[[#This Row],[Age]]&lt;=20,"Teenager",IF(Table1[[#This Row],[Age]]&lt;=50,"Adult","Senior"))</f>
        <v>Adult</v>
      </c>
      <c r="G17" s="1" t="s">
        <v>28</v>
      </c>
      <c r="H17" s="1" t="s">
        <v>19</v>
      </c>
      <c r="I17" s="2">
        <v>55</v>
      </c>
      <c r="J17" s="2">
        <v>70</v>
      </c>
      <c r="K17" s="2">
        <v>15</v>
      </c>
      <c r="L17" s="1" t="s">
        <v>119</v>
      </c>
      <c r="M17" s="1" t="s">
        <v>21</v>
      </c>
      <c r="N17" s="1" t="s">
        <v>22</v>
      </c>
      <c r="O17" s="1" t="s">
        <v>23</v>
      </c>
      <c r="P17" s="13">
        <f t="shared" ca="1" si="0"/>
        <v>44983</v>
      </c>
      <c r="Q17" s="11">
        <f>Table1[[#This Row],[Profit]]/Table1[[#This Row],[Total Cost]]</f>
        <v>0.21428571428571427</v>
      </c>
    </row>
    <row r="18" spans="1:17" x14ac:dyDescent="0.25">
      <c r="A18" t="s">
        <v>120</v>
      </c>
      <c r="B18" s="1" t="s">
        <v>25</v>
      </c>
      <c r="C18" s="1" t="s">
        <v>26</v>
      </c>
      <c r="D18" s="1" t="s">
        <v>121</v>
      </c>
      <c r="E18" s="2">
        <v>40</v>
      </c>
      <c r="F18" s="2" t="str">
        <f>IF(Table1[[#This Row],[Age]]&lt;=20,"Teenager",IF(Table1[[#This Row],[Age]]&lt;=50,"Adult","Senior"))</f>
        <v>Adult</v>
      </c>
      <c r="G18" s="1" t="s">
        <v>18</v>
      </c>
      <c r="H18" s="1" t="s">
        <v>29</v>
      </c>
      <c r="I18" s="2">
        <v>130</v>
      </c>
      <c r="J18" s="2">
        <v>160</v>
      </c>
      <c r="K18" s="2">
        <v>30</v>
      </c>
      <c r="L18" s="1" t="s">
        <v>122</v>
      </c>
      <c r="M18" s="1" t="s">
        <v>31</v>
      </c>
      <c r="N18" s="1" t="s">
        <v>22</v>
      </c>
      <c r="O18" s="1" t="s">
        <v>23</v>
      </c>
      <c r="P18" s="13">
        <f t="shared" ca="1" si="0"/>
        <v>45027</v>
      </c>
      <c r="Q18" s="11">
        <f>Table1[[#This Row],[Profit]]/Table1[[#This Row],[Total Cost]]</f>
        <v>0.1875</v>
      </c>
    </row>
    <row r="19" spans="1:17" x14ac:dyDescent="0.25">
      <c r="A19" t="s">
        <v>123</v>
      </c>
      <c r="B19" s="1" t="s">
        <v>33</v>
      </c>
      <c r="C19" s="1" t="s">
        <v>34</v>
      </c>
      <c r="D19" s="1" t="s">
        <v>124</v>
      </c>
      <c r="E19" s="2">
        <v>49</v>
      </c>
      <c r="F19" s="2" t="str">
        <f>IF(Table1[[#This Row],[Age]]&lt;=20,"Teenager",IF(Table1[[#This Row],[Age]]&lt;=50,"Adult","Senior"))</f>
        <v>Adult</v>
      </c>
      <c r="G19" s="1" t="s">
        <v>28</v>
      </c>
      <c r="H19" s="1" t="s">
        <v>36</v>
      </c>
      <c r="I19" s="2">
        <v>210</v>
      </c>
      <c r="J19" s="2">
        <v>260</v>
      </c>
      <c r="K19" s="2">
        <v>50</v>
      </c>
      <c r="L19" s="1" t="s">
        <v>125</v>
      </c>
      <c r="M19" s="1" t="s">
        <v>44</v>
      </c>
      <c r="N19" s="1" t="s">
        <v>45</v>
      </c>
      <c r="O19" s="1" t="s">
        <v>23</v>
      </c>
      <c r="P19" s="13">
        <f t="shared" ca="1" si="0"/>
        <v>45180</v>
      </c>
      <c r="Q19" s="11">
        <f>Table1[[#This Row],[Profit]]/Table1[[#This Row],[Total Cost]]</f>
        <v>0.19230769230769232</v>
      </c>
    </row>
    <row r="20" spans="1:17" x14ac:dyDescent="0.25">
      <c r="A20" t="s">
        <v>126</v>
      </c>
      <c r="B20" s="1" t="s">
        <v>39</v>
      </c>
      <c r="C20" s="1" t="s">
        <v>40</v>
      </c>
      <c r="D20" s="1" t="s">
        <v>127</v>
      </c>
      <c r="E20" s="2">
        <v>23</v>
      </c>
      <c r="F20" s="2" t="str">
        <f>IF(Table1[[#This Row],[Age]]&lt;=20,"Teenager",IF(Table1[[#This Row],[Age]]&lt;=50,"Adult","Senior"))</f>
        <v>Adult</v>
      </c>
      <c r="G20" s="1" t="s">
        <v>18</v>
      </c>
      <c r="H20" s="1" t="s">
        <v>42</v>
      </c>
      <c r="I20" s="2">
        <v>85</v>
      </c>
      <c r="J20" s="2">
        <v>110</v>
      </c>
      <c r="K20" s="2">
        <v>25</v>
      </c>
      <c r="L20" s="1" t="s">
        <v>128</v>
      </c>
      <c r="M20" s="1" t="s">
        <v>58</v>
      </c>
      <c r="N20" s="1" t="s">
        <v>59</v>
      </c>
      <c r="O20" s="1" t="s">
        <v>23</v>
      </c>
      <c r="P20" s="13">
        <f t="shared" ca="1" si="0"/>
        <v>44985</v>
      </c>
      <c r="Q20" s="11">
        <f>Table1[[#This Row],[Profit]]/Table1[[#This Row],[Total Cost]]</f>
        <v>0.22727272727272727</v>
      </c>
    </row>
    <row r="21" spans="1:17" x14ac:dyDescent="0.25">
      <c r="A21" t="s">
        <v>129</v>
      </c>
      <c r="B21" s="1" t="s">
        <v>47</v>
      </c>
      <c r="C21" s="1" t="s">
        <v>48</v>
      </c>
      <c r="D21" s="1" t="s">
        <v>130</v>
      </c>
      <c r="E21" s="2">
        <v>31</v>
      </c>
      <c r="F21" s="2" t="str">
        <f>IF(Table1[[#This Row],[Age]]&lt;=20,"Teenager",IF(Table1[[#This Row],[Age]]&lt;=50,"Adult","Senior"))</f>
        <v>Adult</v>
      </c>
      <c r="G21" s="1" t="s">
        <v>28</v>
      </c>
      <c r="H21" s="1" t="s">
        <v>50</v>
      </c>
      <c r="I21" s="2">
        <v>95</v>
      </c>
      <c r="J21" s="2">
        <v>120</v>
      </c>
      <c r="K21" s="2">
        <v>25</v>
      </c>
      <c r="L21" s="1" t="s">
        <v>131</v>
      </c>
      <c r="M21" s="1" t="s">
        <v>52</v>
      </c>
      <c r="N21" s="1" t="s">
        <v>52</v>
      </c>
      <c r="O21" s="1" t="s">
        <v>23</v>
      </c>
      <c r="P21" s="13">
        <f t="shared" ca="1" si="0"/>
        <v>44941</v>
      </c>
      <c r="Q21" s="11">
        <f>Table1[[#This Row],[Profit]]/Table1[[#This Row],[Total Cost]]</f>
        <v>0.20833333333333334</v>
      </c>
    </row>
    <row r="22" spans="1:17" x14ac:dyDescent="0.25">
      <c r="A22" t="s">
        <v>132</v>
      </c>
      <c r="B22" s="1" t="s">
        <v>54</v>
      </c>
      <c r="C22" s="1" t="s">
        <v>55</v>
      </c>
      <c r="D22" s="1" t="s">
        <v>133</v>
      </c>
      <c r="E22" s="2">
        <v>54</v>
      </c>
      <c r="F22" s="2" t="str">
        <f>IF(Table1[[#This Row],[Age]]&lt;=20,"Teenager",IF(Table1[[#This Row],[Age]]&lt;=50,"Adult","Senior"))</f>
        <v>Senior</v>
      </c>
      <c r="G22" s="1" t="s">
        <v>18</v>
      </c>
      <c r="H22" s="1" t="s">
        <v>56</v>
      </c>
      <c r="I22" s="2">
        <v>155</v>
      </c>
      <c r="J22" s="2">
        <v>190</v>
      </c>
      <c r="K22" s="2">
        <v>35</v>
      </c>
      <c r="L22" s="1" t="s">
        <v>134</v>
      </c>
      <c r="M22" s="1" t="s">
        <v>135</v>
      </c>
      <c r="N22" s="1" t="s">
        <v>136</v>
      </c>
      <c r="O22" s="1" t="s">
        <v>23</v>
      </c>
      <c r="P22" s="13">
        <f t="shared" ca="1" si="0"/>
        <v>45283</v>
      </c>
      <c r="Q22" s="11">
        <f>Table1[[#This Row],[Profit]]/Table1[[#This Row],[Total Cost]]</f>
        <v>0.18421052631578946</v>
      </c>
    </row>
    <row r="23" spans="1:17" x14ac:dyDescent="0.25">
      <c r="A23" t="s">
        <v>137</v>
      </c>
      <c r="B23" s="1" t="s">
        <v>61</v>
      </c>
      <c r="C23" s="1" t="s">
        <v>62</v>
      </c>
      <c r="D23" s="1" t="s">
        <v>138</v>
      </c>
      <c r="E23" s="2">
        <v>48</v>
      </c>
      <c r="F23" s="2" t="str">
        <f>IF(Table1[[#This Row],[Age]]&lt;=20,"Teenager",IF(Table1[[#This Row],[Age]]&lt;=50,"Adult","Senior"))</f>
        <v>Adult</v>
      </c>
      <c r="G23" s="1" t="s">
        <v>28</v>
      </c>
      <c r="H23" s="1" t="s">
        <v>64</v>
      </c>
      <c r="I23" s="2">
        <v>260</v>
      </c>
      <c r="J23" s="2">
        <v>310</v>
      </c>
      <c r="K23" s="2">
        <v>50</v>
      </c>
      <c r="L23" s="1" t="s">
        <v>139</v>
      </c>
      <c r="M23" s="1" t="s">
        <v>31</v>
      </c>
      <c r="N23" s="1" t="s">
        <v>22</v>
      </c>
      <c r="O23" s="1" t="s">
        <v>23</v>
      </c>
      <c r="P23" s="13">
        <f t="shared" ca="1" si="0"/>
        <v>45269</v>
      </c>
      <c r="Q23" s="11">
        <f>Table1[[#This Row],[Profit]]/Table1[[#This Row],[Total Cost]]</f>
        <v>0.16129032258064516</v>
      </c>
    </row>
    <row r="24" spans="1:17" x14ac:dyDescent="0.25">
      <c r="A24" t="s">
        <v>140</v>
      </c>
      <c r="B24" s="1" t="s">
        <v>69</v>
      </c>
      <c r="C24" s="1" t="s">
        <v>70</v>
      </c>
      <c r="D24" s="1" t="s">
        <v>141</v>
      </c>
      <c r="E24" s="2">
        <v>28</v>
      </c>
      <c r="F24" s="2" t="str">
        <f>IF(Table1[[#This Row],[Age]]&lt;=20,"Teenager",IF(Table1[[#This Row],[Age]]&lt;=50,"Adult","Senior"))</f>
        <v>Adult</v>
      </c>
      <c r="G24" s="1" t="s">
        <v>18</v>
      </c>
      <c r="H24" s="1" t="s">
        <v>29</v>
      </c>
      <c r="I24" s="2">
        <v>175</v>
      </c>
      <c r="J24" s="2">
        <v>215</v>
      </c>
      <c r="K24" s="2">
        <v>40</v>
      </c>
      <c r="L24" s="1" t="s">
        <v>142</v>
      </c>
      <c r="M24" s="1" t="s">
        <v>44</v>
      </c>
      <c r="N24" s="1" t="s">
        <v>45</v>
      </c>
      <c r="O24" s="1" t="s">
        <v>23</v>
      </c>
      <c r="P24" s="13">
        <f t="shared" ca="1" si="0"/>
        <v>45286</v>
      </c>
      <c r="Q24" s="11">
        <f>Table1[[#This Row],[Profit]]/Table1[[#This Row],[Total Cost]]</f>
        <v>0.18604651162790697</v>
      </c>
    </row>
    <row r="25" spans="1:17" x14ac:dyDescent="0.25">
      <c r="A25" t="s">
        <v>143</v>
      </c>
      <c r="B25" s="1" t="s">
        <v>76</v>
      </c>
      <c r="C25" s="1" t="s">
        <v>34</v>
      </c>
      <c r="D25" s="1" t="s">
        <v>144</v>
      </c>
      <c r="E25" s="2">
        <v>53</v>
      </c>
      <c r="F25" s="2" t="str">
        <f>IF(Table1[[#This Row],[Age]]&lt;=20,"Teenager",IF(Table1[[#This Row],[Age]]&lt;=50,"Adult","Senior"))</f>
        <v>Senior</v>
      </c>
      <c r="G25" s="1" t="s">
        <v>28</v>
      </c>
      <c r="H25" s="1" t="s">
        <v>36</v>
      </c>
      <c r="I25" s="2">
        <v>390</v>
      </c>
      <c r="J25" s="2">
        <v>470</v>
      </c>
      <c r="K25" s="2">
        <v>80</v>
      </c>
      <c r="L25" s="1" t="s">
        <v>145</v>
      </c>
      <c r="M25" s="1" t="s">
        <v>79</v>
      </c>
      <c r="N25" s="1" t="s">
        <v>80</v>
      </c>
      <c r="O25" s="1" t="s">
        <v>23</v>
      </c>
      <c r="P25" s="13">
        <f t="shared" ca="1" si="0"/>
        <v>45032</v>
      </c>
      <c r="Q25" s="11">
        <f>Table1[[#This Row],[Profit]]/Table1[[#This Row],[Total Cost]]</f>
        <v>0.1702127659574468</v>
      </c>
    </row>
    <row r="26" spans="1:17" x14ac:dyDescent="0.25">
      <c r="A26" t="s">
        <v>146</v>
      </c>
      <c r="B26" s="1" t="s">
        <v>82</v>
      </c>
      <c r="C26" s="1" t="s">
        <v>55</v>
      </c>
      <c r="D26" s="1" t="s">
        <v>147</v>
      </c>
      <c r="E26" s="2">
        <v>37</v>
      </c>
      <c r="F26" s="2" t="str">
        <f>IF(Table1[[#This Row],[Age]]&lt;=20,"Teenager",IF(Table1[[#This Row],[Age]]&lt;=50,"Adult","Senior"))</f>
        <v>Adult</v>
      </c>
      <c r="G26" s="1" t="s">
        <v>18</v>
      </c>
      <c r="H26" s="1" t="s">
        <v>56</v>
      </c>
      <c r="I26" s="2">
        <v>165</v>
      </c>
      <c r="J26" s="2">
        <v>205</v>
      </c>
      <c r="K26" s="2">
        <v>40</v>
      </c>
      <c r="L26" s="1" t="s">
        <v>148</v>
      </c>
      <c r="M26" s="1" t="s">
        <v>91</v>
      </c>
      <c r="N26" s="1" t="s">
        <v>92</v>
      </c>
      <c r="O26" s="1" t="s">
        <v>23</v>
      </c>
      <c r="P26" s="13">
        <f t="shared" ca="1" si="0"/>
        <v>45257</v>
      </c>
      <c r="Q26" s="11">
        <f>Table1[[#This Row],[Profit]]/Table1[[#This Row],[Total Cost]]</f>
        <v>0.1951219512195122</v>
      </c>
    </row>
    <row r="27" spans="1:17" x14ac:dyDescent="0.25">
      <c r="A27" t="s">
        <v>149</v>
      </c>
      <c r="B27" s="1" t="s">
        <v>88</v>
      </c>
      <c r="C27" s="1" t="s">
        <v>40</v>
      </c>
      <c r="D27" s="1" t="s">
        <v>150</v>
      </c>
      <c r="E27" s="2">
        <v>42</v>
      </c>
      <c r="F27" s="2" t="str">
        <f>IF(Table1[[#This Row],[Age]]&lt;=20,"Teenager",IF(Table1[[#This Row],[Age]]&lt;=50,"Adult","Senior"))</f>
        <v>Adult</v>
      </c>
      <c r="G27" s="1" t="s">
        <v>18</v>
      </c>
      <c r="H27" s="1" t="s">
        <v>42</v>
      </c>
      <c r="I27" s="2">
        <v>95</v>
      </c>
      <c r="J27" s="2">
        <v>125</v>
      </c>
      <c r="K27" s="2">
        <v>30</v>
      </c>
      <c r="L27" s="1" t="s">
        <v>151</v>
      </c>
      <c r="M27" s="1" t="s">
        <v>98</v>
      </c>
      <c r="N27" s="1" t="s">
        <v>99</v>
      </c>
      <c r="O27" s="1" t="s">
        <v>23</v>
      </c>
      <c r="P27" s="13">
        <f t="shared" ca="1" si="0"/>
        <v>45058</v>
      </c>
      <c r="Q27" s="11">
        <f>Table1[[#This Row],[Profit]]/Table1[[#This Row],[Total Cost]]</f>
        <v>0.24</v>
      </c>
    </row>
    <row r="28" spans="1:17" x14ac:dyDescent="0.25">
      <c r="A28" t="s">
        <v>152</v>
      </c>
      <c r="B28" s="1" t="s">
        <v>94</v>
      </c>
      <c r="C28" s="1" t="s">
        <v>48</v>
      </c>
      <c r="D28" s="1" t="s">
        <v>153</v>
      </c>
      <c r="E28" s="2">
        <v>46</v>
      </c>
      <c r="F28" s="2" t="str">
        <f>IF(Table1[[#This Row],[Age]]&lt;=20,"Teenager",IF(Table1[[#This Row],[Age]]&lt;=50,"Adult","Senior"))</f>
        <v>Adult</v>
      </c>
      <c r="G28" s="1" t="s">
        <v>28</v>
      </c>
      <c r="H28" s="1" t="s">
        <v>96</v>
      </c>
      <c r="I28" s="2">
        <v>230</v>
      </c>
      <c r="J28" s="2">
        <v>280</v>
      </c>
      <c r="K28" s="2">
        <v>50</v>
      </c>
      <c r="L28" s="1" t="s">
        <v>154</v>
      </c>
      <c r="M28" s="1" t="s">
        <v>105</v>
      </c>
      <c r="N28" s="1" t="s">
        <v>106</v>
      </c>
      <c r="O28" s="1" t="s">
        <v>23</v>
      </c>
      <c r="P28" s="13">
        <f t="shared" ca="1" si="0"/>
        <v>45073</v>
      </c>
      <c r="Q28" s="11">
        <f>Table1[[#This Row],[Profit]]/Table1[[#This Row],[Total Cost]]</f>
        <v>0.17857142857142858</v>
      </c>
    </row>
    <row r="29" spans="1:17" x14ac:dyDescent="0.25">
      <c r="A29" t="s">
        <v>155</v>
      </c>
      <c r="B29" s="1" t="s">
        <v>101</v>
      </c>
      <c r="C29" s="1" t="s">
        <v>16</v>
      </c>
      <c r="D29" s="1" t="s">
        <v>156</v>
      </c>
      <c r="E29" s="2">
        <v>39</v>
      </c>
      <c r="F29" s="2" t="str">
        <f>IF(Table1[[#This Row],[Age]]&lt;=20,"Teenager",IF(Table1[[#This Row],[Age]]&lt;=50,"Adult","Senior"))</f>
        <v>Adult</v>
      </c>
      <c r="G29" s="1" t="s">
        <v>18</v>
      </c>
      <c r="H29" s="1" t="s">
        <v>103</v>
      </c>
      <c r="I29" s="2">
        <v>310</v>
      </c>
      <c r="J29" s="2">
        <v>370</v>
      </c>
      <c r="K29" s="2">
        <v>60</v>
      </c>
      <c r="L29" s="1" t="s">
        <v>157</v>
      </c>
      <c r="M29" s="1" t="s">
        <v>105</v>
      </c>
      <c r="N29" s="1" t="s">
        <v>106</v>
      </c>
      <c r="O29" s="1" t="s">
        <v>23</v>
      </c>
      <c r="P29" s="13">
        <f t="shared" ca="1" si="0"/>
        <v>45158</v>
      </c>
      <c r="Q29" s="11">
        <f>Table1[[#This Row],[Profit]]/Table1[[#This Row],[Total Cost]]</f>
        <v>0.16216216216216217</v>
      </c>
    </row>
    <row r="30" spans="1:17" x14ac:dyDescent="0.25">
      <c r="A30" t="s">
        <v>158</v>
      </c>
      <c r="B30" s="1" t="s">
        <v>108</v>
      </c>
      <c r="C30" s="1" t="s">
        <v>26</v>
      </c>
      <c r="D30" s="1" t="s">
        <v>159</v>
      </c>
      <c r="E30" s="2">
        <v>25</v>
      </c>
      <c r="F30" s="2" t="str">
        <f>IF(Table1[[#This Row],[Age]]&lt;=20,"Teenager",IF(Table1[[#This Row],[Age]]&lt;=50,"Adult","Senior"))</f>
        <v>Adult</v>
      </c>
      <c r="G30" s="1" t="s">
        <v>28</v>
      </c>
      <c r="H30" s="1" t="s">
        <v>29</v>
      </c>
      <c r="I30" s="2">
        <v>145</v>
      </c>
      <c r="J30" s="2">
        <v>185</v>
      </c>
      <c r="K30" s="2">
        <v>40</v>
      </c>
      <c r="L30" s="1" t="s">
        <v>160</v>
      </c>
      <c r="M30" s="1" t="s">
        <v>98</v>
      </c>
      <c r="N30" s="1" t="s">
        <v>99</v>
      </c>
      <c r="O30" s="1" t="s">
        <v>23</v>
      </c>
      <c r="P30" s="13">
        <f t="shared" ca="1" si="0"/>
        <v>45119</v>
      </c>
      <c r="Q30" s="11">
        <f>Table1[[#This Row],[Profit]]/Table1[[#This Row],[Total Cost]]</f>
        <v>0.21621621621621623</v>
      </c>
    </row>
    <row r="31" spans="1:17" x14ac:dyDescent="0.25">
      <c r="A31" t="s">
        <v>161</v>
      </c>
      <c r="B31" s="1" t="s">
        <v>112</v>
      </c>
      <c r="C31" s="1" t="s">
        <v>62</v>
      </c>
      <c r="D31" s="1" t="s">
        <v>162</v>
      </c>
      <c r="E31" s="2">
        <v>51</v>
      </c>
      <c r="F31" s="2" t="str">
        <f>IF(Table1[[#This Row],[Age]]&lt;=20,"Teenager",IF(Table1[[#This Row],[Age]]&lt;=50,"Adult","Senior"))</f>
        <v>Senior</v>
      </c>
      <c r="G31" s="1" t="s">
        <v>18</v>
      </c>
      <c r="H31" s="1" t="s">
        <v>114</v>
      </c>
      <c r="I31" s="2">
        <v>355</v>
      </c>
      <c r="J31" s="2">
        <v>425</v>
      </c>
      <c r="K31" s="2">
        <v>70</v>
      </c>
      <c r="L31" s="1" t="s">
        <v>163</v>
      </c>
      <c r="M31" s="1" t="s">
        <v>44</v>
      </c>
      <c r="N31" s="1" t="s">
        <v>45</v>
      </c>
      <c r="O31" s="1" t="s">
        <v>23</v>
      </c>
      <c r="P31" s="13">
        <f t="shared" ca="1" si="0"/>
        <v>45061</v>
      </c>
      <c r="Q31" s="11">
        <f>Table1[[#This Row],[Profit]]/Table1[[#This Row],[Total Cost]]</f>
        <v>0.16470588235294117</v>
      </c>
    </row>
    <row r="32" spans="1:17" x14ac:dyDescent="0.25">
      <c r="A32" t="s">
        <v>168</v>
      </c>
      <c r="B32" s="1" t="s">
        <v>15</v>
      </c>
      <c r="C32" s="1" t="s">
        <v>16</v>
      </c>
      <c r="D32" s="1" t="s">
        <v>169</v>
      </c>
      <c r="E32" s="2">
        <v>28</v>
      </c>
      <c r="F32" s="2" t="str">
        <f>IF(Table1[[#This Row],[Age]]&lt;=20,"Teenager",IF(Table1[[#This Row],[Age]]&lt;=50,"Adult","Senior"))</f>
        <v>Adult</v>
      </c>
      <c r="G32" s="1" t="s">
        <v>28</v>
      </c>
      <c r="H32" s="1" t="s">
        <v>19</v>
      </c>
      <c r="I32" s="2">
        <v>60</v>
      </c>
      <c r="J32" s="2">
        <v>75</v>
      </c>
      <c r="K32" s="2">
        <v>15</v>
      </c>
      <c r="L32" s="1" t="s">
        <v>170</v>
      </c>
      <c r="M32" s="1" t="s">
        <v>21</v>
      </c>
      <c r="N32" s="1" t="s">
        <v>22</v>
      </c>
      <c r="O32" s="1" t="s">
        <v>23</v>
      </c>
      <c r="P32" s="13">
        <f t="shared" ca="1" si="0"/>
        <v>45074</v>
      </c>
      <c r="Q32" s="11">
        <f>Table1[[#This Row],[Profit]]/Table1[[#This Row],[Total Cost]]</f>
        <v>0.2</v>
      </c>
    </row>
    <row r="33" spans="1:17" x14ac:dyDescent="0.25">
      <c r="A33" t="s">
        <v>171</v>
      </c>
      <c r="B33" s="1" t="s">
        <v>25</v>
      </c>
      <c r="C33" s="1" t="s">
        <v>26</v>
      </c>
      <c r="D33" s="1" t="s">
        <v>172</v>
      </c>
      <c r="E33" s="2">
        <v>35</v>
      </c>
      <c r="F33" s="2" t="str">
        <f>IF(Table1[[#This Row],[Age]]&lt;=20,"Teenager",IF(Table1[[#This Row],[Age]]&lt;=50,"Adult","Senior"))</f>
        <v>Adult</v>
      </c>
      <c r="G33" s="1" t="s">
        <v>18</v>
      </c>
      <c r="H33" s="1" t="s">
        <v>29</v>
      </c>
      <c r="I33" s="2">
        <v>125</v>
      </c>
      <c r="J33" s="2">
        <v>155</v>
      </c>
      <c r="K33" s="2">
        <v>30</v>
      </c>
      <c r="L33" s="1" t="s">
        <v>173</v>
      </c>
      <c r="M33" s="1" t="s">
        <v>31</v>
      </c>
      <c r="N33" s="1" t="s">
        <v>22</v>
      </c>
      <c r="O33" s="1" t="s">
        <v>23</v>
      </c>
      <c r="P33" s="13">
        <f t="shared" ca="1" si="0"/>
        <v>45153</v>
      </c>
      <c r="Q33" s="11">
        <f>Table1[[#This Row],[Profit]]/Table1[[#This Row],[Total Cost]]</f>
        <v>0.19354838709677419</v>
      </c>
    </row>
    <row r="34" spans="1:17" x14ac:dyDescent="0.25">
      <c r="A34" t="s">
        <v>174</v>
      </c>
      <c r="B34" s="1" t="s">
        <v>33</v>
      </c>
      <c r="C34" s="1" t="s">
        <v>34</v>
      </c>
      <c r="D34" s="1" t="s">
        <v>175</v>
      </c>
      <c r="E34" s="2">
        <v>50</v>
      </c>
      <c r="F34" s="2" t="str">
        <f>IF(Table1[[#This Row],[Age]]&lt;=20,"Teenager",IF(Table1[[#This Row],[Age]]&lt;=50,"Adult","Senior"))</f>
        <v>Adult</v>
      </c>
      <c r="G34" s="1" t="s">
        <v>28</v>
      </c>
      <c r="H34" s="1" t="s">
        <v>36</v>
      </c>
      <c r="I34" s="2">
        <v>205</v>
      </c>
      <c r="J34" s="2">
        <v>255</v>
      </c>
      <c r="K34" s="2">
        <v>50</v>
      </c>
      <c r="L34" s="1" t="s">
        <v>176</v>
      </c>
      <c r="M34" s="1" t="s">
        <v>44</v>
      </c>
      <c r="N34" s="1" t="s">
        <v>45</v>
      </c>
      <c r="O34" s="1" t="s">
        <v>23</v>
      </c>
      <c r="P34" s="13">
        <f t="shared" ca="1" si="0"/>
        <v>45240</v>
      </c>
      <c r="Q34" s="11">
        <f>Table1[[#This Row],[Profit]]/Table1[[#This Row],[Total Cost]]</f>
        <v>0.19607843137254902</v>
      </c>
    </row>
    <row r="35" spans="1:17" x14ac:dyDescent="0.25">
      <c r="A35" t="s">
        <v>177</v>
      </c>
      <c r="B35" s="1" t="s">
        <v>39</v>
      </c>
      <c r="C35" s="1" t="s">
        <v>40</v>
      </c>
      <c r="D35" s="1" t="s">
        <v>178</v>
      </c>
      <c r="E35" s="2">
        <v>21</v>
      </c>
      <c r="F35" s="2" t="str">
        <f>IF(Table1[[#This Row],[Age]]&lt;=20,"Teenager",IF(Table1[[#This Row],[Age]]&lt;=50,"Adult","Senior"))</f>
        <v>Adult</v>
      </c>
      <c r="G35" s="1" t="s">
        <v>18</v>
      </c>
      <c r="H35" s="1" t="s">
        <v>42</v>
      </c>
      <c r="I35" s="2">
        <v>82</v>
      </c>
      <c r="J35" s="2">
        <v>105</v>
      </c>
      <c r="K35" s="2">
        <v>23</v>
      </c>
      <c r="L35" s="1" t="s">
        <v>179</v>
      </c>
      <c r="M35" s="1" t="s">
        <v>58</v>
      </c>
      <c r="N35" s="1" t="s">
        <v>59</v>
      </c>
      <c r="O35" s="1" t="s">
        <v>23</v>
      </c>
      <c r="P35" s="13">
        <f t="shared" ca="1" si="0"/>
        <v>44985</v>
      </c>
      <c r="Q35" s="11">
        <f>Table1[[#This Row],[Profit]]/Table1[[#This Row],[Total Cost]]</f>
        <v>0.21904761904761905</v>
      </c>
    </row>
    <row r="36" spans="1:17" x14ac:dyDescent="0.25">
      <c r="A36" t="s">
        <v>180</v>
      </c>
      <c r="B36" s="1" t="s">
        <v>47</v>
      </c>
      <c r="C36" s="1" t="s">
        <v>48</v>
      </c>
      <c r="D36" s="1" t="s">
        <v>181</v>
      </c>
      <c r="E36" s="2">
        <v>33</v>
      </c>
      <c r="F36" s="2" t="str">
        <f>IF(Table1[[#This Row],[Age]]&lt;=20,"Teenager",IF(Table1[[#This Row],[Age]]&lt;=50,"Adult","Senior"))</f>
        <v>Adult</v>
      </c>
      <c r="G36" s="1" t="s">
        <v>28</v>
      </c>
      <c r="H36" s="1" t="s">
        <v>50</v>
      </c>
      <c r="I36" s="2">
        <v>92</v>
      </c>
      <c r="J36" s="2">
        <v>115</v>
      </c>
      <c r="K36" s="2">
        <v>23</v>
      </c>
      <c r="L36" s="1" t="s">
        <v>182</v>
      </c>
      <c r="M36" s="1" t="s">
        <v>52</v>
      </c>
      <c r="N36" s="1" t="s">
        <v>52</v>
      </c>
      <c r="O36" s="1" t="s">
        <v>23</v>
      </c>
      <c r="P36" s="13">
        <f t="shared" ca="1" si="0"/>
        <v>44986</v>
      </c>
      <c r="Q36" s="11">
        <f>Table1[[#This Row],[Profit]]/Table1[[#This Row],[Total Cost]]</f>
        <v>0.2</v>
      </c>
    </row>
    <row r="37" spans="1:17" x14ac:dyDescent="0.25">
      <c r="A37" t="s">
        <v>183</v>
      </c>
      <c r="B37" s="1" t="s">
        <v>54</v>
      </c>
      <c r="C37" s="1" t="s">
        <v>55</v>
      </c>
      <c r="D37" s="1" t="s">
        <v>184</v>
      </c>
      <c r="E37" s="2">
        <v>47</v>
      </c>
      <c r="F37" s="2" t="str">
        <f>IF(Table1[[#This Row],[Age]]&lt;=20,"Teenager",IF(Table1[[#This Row],[Age]]&lt;=50,"Adult","Senior"))</f>
        <v>Adult</v>
      </c>
      <c r="G37" s="1" t="s">
        <v>18</v>
      </c>
      <c r="H37" s="1" t="s">
        <v>56</v>
      </c>
      <c r="I37" s="2">
        <v>152</v>
      </c>
      <c r="J37" s="2">
        <v>185</v>
      </c>
      <c r="K37" s="2">
        <v>33</v>
      </c>
      <c r="L37" s="1" t="s">
        <v>185</v>
      </c>
      <c r="M37" s="1" t="s">
        <v>58</v>
      </c>
      <c r="N37" s="1" t="s">
        <v>59</v>
      </c>
      <c r="O37" s="1" t="s">
        <v>23</v>
      </c>
      <c r="P37" s="13">
        <f t="shared" ca="1" si="0"/>
        <v>45249</v>
      </c>
      <c r="Q37" s="11">
        <f>Table1[[#This Row],[Profit]]/Table1[[#This Row],[Total Cost]]</f>
        <v>0.17837837837837839</v>
      </c>
    </row>
    <row r="38" spans="1:17" x14ac:dyDescent="0.25">
      <c r="A38" t="s">
        <v>186</v>
      </c>
      <c r="B38" s="1" t="s">
        <v>61</v>
      </c>
      <c r="C38" s="1" t="s">
        <v>62</v>
      </c>
      <c r="D38" s="1" t="s">
        <v>187</v>
      </c>
      <c r="E38" s="2">
        <v>58</v>
      </c>
      <c r="F38" s="2" t="str">
        <f>IF(Table1[[#This Row],[Age]]&lt;=20,"Teenager",IF(Table1[[#This Row],[Age]]&lt;=50,"Adult","Senior"))</f>
        <v>Senior</v>
      </c>
      <c r="G38" s="1" t="s">
        <v>28</v>
      </c>
      <c r="H38" s="1" t="s">
        <v>64</v>
      </c>
      <c r="I38" s="2">
        <v>255</v>
      </c>
      <c r="J38" s="2">
        <v>305</v>
      </c>
      <c r="K38" s="2">
        <v>50</v>
      </c>
      <c r="L38" s="1" t="s">
        <v>188</v>
      </c>
      <c r="M38" s="1" t="s">
        <v>66</v>
      </c>
      <c r="N38" s="1" t="s">
        <v>67</v>
      </c>
      <c r="O38" s="1" t="s">
        <v>23</v>
      </c>
      <c r="P38" s="13">
        <f t="shared" ca="1" si="0"/>
        <v>45093</v>
      </c>
      <c r="Q38" s="11">
        <f>Table1[[#This Row],[Profit]]/Table1[[#This Row],[Total Cost]]</f>
        <v>0.16393442622950818</v>
      </c>
    </row>
    <row r="39" spans="1:17" x14ac:dyDescent="0.25">
      <c r="A39" t="s">
        <v>189</v>
      </c>
      <c r="B39" s="1" t="s">
        <v>69</v>
      </c>
      <c r="C39" s="1" t="s">
        <v>70</v>
      </c>
      <c r="D39" s="1" t="s">
        <v>190</v>
      </c>
      <c r="E39" s="2">
        <v>24</v>
      </c>
      <c r="F39" s="2" t="str">
        <f>IF(Table1[[#This Row],[Age]]&lt;=20,"Teenager",IF(Table1[[#This Row],[Age]]&lt;=50,"Adult","Senior"))</f>
        <v>Adult</v>
      </c>
      <c r="G39" s="1" t="s">
        <v>18</v>
      </c>
      <c r="H39" s="1" t="s">
        <v>29</v>
      </c>
      <c r="I39" s="2">
        <v>185</v>
      </c>
      <c r="J39" s="2">
        <v>225</v>
      </c>
      <c r="K39" s="2">
        <v>40</v>
      </c>
      <c r="L39" s="1" t="s">
        <v>191</v>
      </c>
      <c r="M39" s="1" t="s">
        <v>73</v>
      </c>
      <c r="N39" s="1" t="s">
        <v>74</v>
      </c>
      <c r="O39" s="1" t="s">
        <v>23</v>
      </c>
      <c r="P39" s="13">
        <f t="shared" ca="1" si="0"/>
        <v>45088</v>
      </c>
      <c r="Q39" s="11">
        <f>Table1[[#This Row],[Profit]]/Table1[[#This Row],[Total Cost]]</f>
        <v>0.17777777777777778</v>
      </c>
    </row>
    <row r="40" spans="1:17" x14ac:dyDescent="0.25">
      <c r="A40" t="s">
        <v>192</v>
      </c>
      <c r="B40" s="1" t="s">
        <v>76</v>
      </c>
      <c r="C40" s="1" t="s">
        <v>34</v>
      </c>
      <c r="D40" s="1" t="s">
        <v>193</v>
      </c>
      <c r="E40" s="2">
        <v>56</v>
      </c>
      <c r="F40" s="2" t="str">
        <f>IF(Table1[[#This Row],[Age]]&lt;=20,"Teenager",IF(Table1[[#This Row],[Age]]&lt;=50,"Adult","Senior"))</f>
        <v>Senior</v>
      </c>
      <c r="G40" s="1" t="s">
        <v>28</v>
      </c>
      <c r="H40" s="1" t="s">
        <v>36</v>
      </c>
      <c r="I40" s="2">
        <v>405</v>
      </c>
      <c r="J40" s="2">
        <v>485</v>
      </c>
      <c r="K40" s="2">
        <v>80</v>
      </c>
      <c r="L40" s="1" t="s">
        <v>194</v>
      </c>
      <c r="M40" s="1" t="s">
        <v>79</v>
      </c>
      <c r="N40" s="1" t="s">
        <v>80</v>
      </c>
      <c r="O40" s="1" t="s">
        <v>23</v>
      </c>
      <c r="P40" s="13">
        <f t="shared" ca="1" si="0"/>
        <v>45237</v>
      </c>
      <c r="Q40" s="11">
        <f>Table1[[#This Row],[Profit]]/Table1[[#This Row],[Total Cost]]</f>
        <v>0.16494845360824742</v>
      </c>
    </row>
    <row r="41" spans="1:17" x14ac:dyDescent="0.25">
      <c r="A41" t="s">
        <v>195</v>
      </c>
      <c r="B41" s="1" t="s">
        <v>82</v>
      </c>
      <c r="C41" s="1" t="s">
        <v>55</v>
      </c>
      <c r="D41" s="1" t="s">
        <v>196</v>
      </c>
      <c r="E41" s="2">
        <v>30</v>
      </c>
      <c r="F41" s="2" t="str">
        <f>IF(Table1[[#This Row],[Age]]&lt;=20,"Teenager",IF(Table1[[#This Row],[Age]]&lt;=50,"Adult","Senior"))</f>
        <v>Adult</v>
      </c>
      <c r="G41" s="1" t="s">
        <v>28</v>
      </c>
      <c r="H41" s="1" t="s">
        <v>56</v>
      </c>
      <c r="I41" s="2">
        <v>162</v>
      </c>
      <c r="J41" s="2">
        <v>202</v>
      </c>
      <c r="K41" s="2">
        <v>40</v>
      </c>
      <c r="L41" s="1" t="s">
        <v>197</v>
      </c>
      <c r="M41" s="1" t="s">
        <v>85</v>
      </c>
      <c r="N41" s="1" t="s">
        <v>86</v>
      </c>
      <c r="O41" s="1" t="s">
        <v>23</v>
      </c>
      <c r="P41" s="13">
        <f t="shared" ca="1" si="0"/>
        <v>45096</v>
      </c>
      <c r="Q41" s="11">
        <f>Table1[[#This Row],[Profit]]/Table1[[#This Row],[Total Cost]]</f>
        <v>0.19801980198019803</v>
      </c>
    </row>
    <row r="42" spans="1:17" x14ac:dyDescent="0.25">
      <c r="A42" t="s">
        <v>198</v>
      </c>
      <c r="B42" s="1" t="s">
        <v>88</v>
      </c>
      <c r="C42" s="1" t="s">
        <v>40</v>
      </c>
      <c r="D42" s="1" t="s">
        <v>199</v>
      </c>
      <c r="E42" s="2">
        <v>36</v>
      </c>
      <c r="F42" s="2" t="str">
        <f>IF(Table1[[#This Row],[Age]]&lt;=20,"Teenager",IF(Table1[[#This Row],[Age]]&lt;=50,"Adult","Senior"))</f>
        <v>Adult</v>
      </c>
      <c r="G42" s="1" t="s">
        <v>18</v>
      </c>
      <c r="H42" s="1" t="s">
        <v>42</v>
      </c>
      <c r="I42" s="2">
        <v>92</v>
      </c>
      <c r="J42" s="2">
        <v>122</v>
      </c>
      <c r="K42" s="2">
        <v>30</v>
      </c>
      <c r="L42" s="1" t="s">
        <v>200</v>
      </c>
      <c r="M42" s="1" t="s">
        <v>91</v>
      </c>
      <c r="N42" s="1" t="s">
        <v>92</v>
      </c>
      <c r="O42" s="1" t="s">
        <v>23</v>
      </c>
      <c r="P42" s="13">
        <f t="shared" ca="1" si="0"/>
        <v>45012</v>
      </c>
      <c r="Q42" s="11">
        <f>Table1[[#This Row],[Profit]]/Table1[[#This Row],[Total Cost]]</f>
        <v>0.24590163934426229</v>
      </c>
    </row>
    <row r="43" spans="1:17" x14ac:dyDescent="0.25">
      <c r="A43" t="s">
        <v>201</v>
      </c>
      <c r="B43" s="1" t="s">
        <v>94</v>
      </c>
      <c r="C43" s="1" t="s">
        <v>48</v>
      </c>
      <c r="D43" s="1" t="s">
        <v>202</v>
      </c>
      <c r="E43" s="2">
        <v>43</v>
      </c>
      <c r="F43" s="2" t="str">
        <f>IF(Table1[[#This Row],[Age]]&lt;=20,"Teenager",IF(Table1[[#This Row],[Age]]&lt;=50,"Adult","Senior"))</f>
        <v>Adult</v>
      </c>
      <c r="G43" s="1" t="s">
        <v>28</v>
      </c>
      <c r="H43" s="1" t="s">
        <v>96</v>
      </c>
      <c r="I43" s="2">
        <v>225</v>
      </c>
      <c r="J43" s="2">
        <v>275</v>
      </c>
      <c r="K43" s="2">
        <v>50</v>
      </c>
      <c r="L43" s="1" t="s">
        <v>203</v>
      </c>
      <c r="M43" s="1" t="s">
        <v>98</v>
      </c>
      <c r="N43" s="1" t="s">
        <v>99</v>
      </c>
      <c r="O43" s="1" t="s">
        <v>23</v>
      </c>
      <c r="P43" s="13">
        <f t="shared" ca="1" si="0"/>
        <v>44996</v>
      </c>
      <c r="Q43" s="11">
        <f>Table1[[#This Row],[Profit]]/Table1[[#This Row],[Total Cost]]</f>
        <v>0.18181818181818182</v>
      </c>
    </row>
    <row r="44" spans="1:17" x14ac:dyDescent="0.25">
      <c r="A44" t="s">
        <v>204</v>
      </c>
      <c r="B44" s="1" t="s">
        <v>101</v>
      </c>
      <c r="C44" s="1" t="s">
        <v>16</v>
      </c>
      <c r="D44" s="1" t="s">
        <v>205</v>
      </c>
      <c r="E44" s="2">
        <v>48</v>
      </c>
      <c r="F44" s="2" t="str">
        <f>IF(Table1[[#This Row],[Age]]&lt;=20,"Teenager",IF(Table1[[#This Row],[Age]]&lt;=50,"Adult","Senior"))</f>
        <v>Adult</v>
      </c>
      <c r="G44" s="1" t="s">
        <v>18</v>
      </c>
      <c r="H44" s="1" t="s">
        <v>103</v>
      </c>
      <c r="I44" s="2">
        <v>305</v>
      </c>
      <c r="J44" s="2">
        <v>365</v>
      </c>
      <c r="K44" s="2">
        <v>60</v>
      </c>
      <c r="L44" s="1" t="s">
        <v>206</v>
      </c>
      <c r="M44" s="1" t="s">
        <v>105</v>
      </c>
      <c r="N44" s="1" t="s">
        <v>106</v>
      </c>
      <c r="O44" s="1" t="s">
        <v>23</v>
      </c>
      <c r="P44" s="13">
        <f t="shared" ca="1" si="0"/>
        <v>45287</v>
      </c>
      <c r="Q44" s="11">
        <f>Table1[[#This Row],[Profit]]/Table1[[#This Row],[Total Cost]]</f>
        <v>0.16438356164383561</v>
      </c>
    </row>
    <row r="45" spans="1:17" x14ac:dyDescent="0.25">
      <c r="A45" t="s">
        <v>207</v>
      </c>
      <c r="B45" s="1" t="s">
        <v>108</v>
      </c>
      <c r="C45" s="1" t="s">
        <v>26</v>
      </c>
      <c r="D45" s="1" t="s">
        <v>208</v>
      </c>
      <c r="E45" s="2">
        <v>27</v>
      </c>
      <c r="F45" s="2" t="str">
        <f>IF(Table1[[#This Row],[Age]]&lt;=20,"Teenager",IF(Table1[[#This Row],[Age]]&lt;=50,"Adult","Senior"))</f>
        <v>Adult</v>
      </c>
      <c r="G45" s="1" t="s">
        <v>28</v>
      </c>
      <c r="H45" s="1" t="s">
        <v>29</v>
      </c>
      <c r="I45" s="2">
        <v>142</v>
      </c>
      <c r="J45" s="2">
        <v>182</v>
      </c>
      <c r="K45" s="2">
        <v>40</v>
      </c>
      <c r="L45" s="1" t="s">
        <v>209</v>
      </c>
      <c r="M45" s="1" t="s">
        <v>98</v>
      </c>
      <c r="N45" s="1" t="s">
        <v>99</v>
      </c>
      <c r="O45" s="1" t="s">
        <v>23</v>
      </c>
      <c r="P45" s="13">
        <f t="shared" ca="1" si="0"/>
        <v>45012</v>
      </c>
      <c r="Q45" s="11">
        <f>Table1[[#This Row],[Profit]]/Table1[[#This Row],[Total Cost]]</f>
        <v>0.21978021978021978</v>
      </c>
    </row>
    <row r="46" spans="1:17" x14ac:dyDescent="0.25">
      <c r="A46" t="s">
        <v>210</v>
      </c>
      <c r="B46" s="1" t="s">
        <v>112</v>
      </c>
      <c r="C46" s="1" t="s">
        <v>62</v>
      </c>
      <c r="D46" s="1" t="s">
        <v>211</v>
      </c>
      <c r="E46" s="2">
        <v>53</v>
      </c>
      <c r="F46" s="2" t="str">
        <f>IF(Table1[[#This Row],[Age]]&lt;=20,"Teenager",IF(Table1[[#This Row],[Age]]&lt;=50,"Adult","Senior"))</f>
        <v>Senior</v>
      </c>
      <c r="G46" s="1" t="s">
        <v>28</v>
      </c>
      <c r="H46" s="1" t="s">
        <v>114</v>
      </c>
      <c r="I46" s="2">
        <v>352</v>
      </c>
      <c r="J46" s="2">
        <v>422</v>
      </c>
      <c r="K46" s="2">
        <v>70</v>
      </c>
      <c r="L46" s="1" t="s">
        <v>212</v>
      </c>
      <c r="M46" s="1" t="s">
        <v>116</v>
      </c>
      <c r="N46" s="1" t="s">
        <v>22</v>
      </c>
      <c r="O46" s="1" t="s">
        <v>23</v>
      </c>
      <c r="P46" s="13">
        <f t="shared" ca="1" si="0"/>
        <v>45238</v>
      </c>
      <c r="Q46" s="11">
        <f>Table1[[#This Row],[Profit]]/Table1[[#This Row],[Total Cost]]</f>
        <v>0.16587677725118483</v>
      </c>
    </row>
    <row r="47" spans="1:17" x14ac:dyDescent="0.25">
      <c r="A47" t="s">
        <v>213</v>
      </c>
      <c r="B47" s="1" t="s">
        <v>15</v>
      </c>
      <c r="C47" s="1" t="s">
        <v>16</v>
      </c>
      <c r="D47" s="1" t="s">
        <v>214</v>
      </c>
      <c r="E47" s="2">
        <v>39</v>
      </c>
      <c r="F47" s="2" t="str">
        <f>IF(Table1[[#This Row],[Age]]&lt;=20,"Teenager",IF(Table1[[#This Row],[Age]]&lt;=50,"Adult","Senior"))</f>
        <v>Adult</v>
      </c>
      <c r="G47" s="1" t="s">
        <v>18</v>
      </c>
      <c r="H47" s="1" t="s">
        <v>19</v>
      </c>
      <c r="I47" s="2">
        <v>58</v>
      </c>
      <c r="J47" s="2">
        <v>73</v>
      </c>
      <c r="K47" s="2">
        <v>15</v>
      </c>
      <c r="L47" s="1" t="s">
        <v>215</v>
      </c>
      <c r="M47" s="1" t="s">
        <v>21</v>
      </c>
      <c r="N47" s="1" t="s">
        <v>22</v>
      </c>
      <c r="O47" s="1" t="s">
        <v>23</v>
      </c>
      <c r="P47" s="13">
        <f t="shared" ca="1" si="0"/>
        <v>45210</v>
      </c>
      <c r="Q47" s="11">
        <f>Table1[[#This Row],[Profit]]/Table1[[#This Row],[Total Cost]]</f>
        <v>0.20547945205479451</v>
      </c>
    </row>
    <row r="48" spans="1:17" x14ac:dyDescent="0.25">
      <c r="A48" t="s">
        <v>216</v>
      </c>
      <c r="B48" s="1" t="s">
        <v>25</v>
      </c>
      <c r="C48" s="1" t="s">
        <v>26</v>
      </c>
      <c r="D48" s="1" t="s">
        <v>217</v>
      </c>
      <c r="E48" s="2">
        <v>41</v>
      </c>
      <c r="F48" s="2" t="str">
        <f>IF(Table1[[#This Row],[Age]]&lt;=20,"Teenager",IF(Table1[[#This Row],[Age]]&lt;=50,"Adult","Senior"))</f>
        <v>Adult</v>
      </c>
      <c r="G48" s="1" t="s">
        <v>28</v>
      </c>
      <c r="H48" s="1" t="s">
        <v>29</v>
      </c>
      <c r="I48" s="2">
        <v>132</v>
      </c>
      <c r="J48" s="2">
        <v>162</v>
      </c>
      <c r="K48" s="2">
        <v>30</v>
      </c>
      <c r="L48" s="1" t="s">
        <v>218</v>
      </c>
      <c r="M48" s="1" t="s">
        <v>31</v>
      </c>
      <c r="N48" s="1" t="s">
        <v>22</v>
      </c>
      <c r="O48" s="1" t="s">
        <v>23</v>
      </c>
      <c r="P48" s="13">
        <f t="shared" ca="1" si="0"/>
        <v>45145</v>
      </c>
      <c r="Q48" s="11">
        <f>Table1[[#This Row],[Profit]]/Table1[[#This Row],[Total Cost]]</f>
        <v>0.18518518518518517</v>
      </c>
    </row>
    <row r="49" spans="1:17" x14ac:dyDescent="0.25">
      <c r="A49" t="s">
        <v>219</v>
      </c>
      <c r="B49" s="1" t="s">
        <v>33</v>
      </c>
      <c r="C49" s="1" t="s">
        <v>34</v>
      </c>
      <c r="D49" s="1" t="s">
        <v>220</v>
      </c>
      <c r="E49" s="2">
        <v>50</v>
      </c>
      <c r="F49" s="2" t="str">
        <f>IF(Table1[[#This Row],[Age]]&lt;=20,"Teenager",IF(Table1[[#This Row],[Age]]&lt;=50,"Adult","Senior"))</f>
        <v>Adult</v>
      </c>
      <c r="G49" s="1" t="s">
        <v>18</v>
      </c>
      <c r="H49" s="1" t="s">
        <v>36</v>
      </c>
      <c r="I49" s="2">
        <v>212</v>
      </c>
      <c r="J49" s="2">
        <v>262</v>
      </c>
      <c r="K49" s="2">
        <v>50</v>
      </c>
      <c r="L49" s="1" t="s">
        <v>221</v>
      </c>
      <c r="M49" s="1" t="s">
        <v>44</v>
      </c>
      <c r="N49" s="1" t="s">
        <v>45</v>
      </c>
      <c r="O49" s="1" t="s">
        <v>23</v>
      </c>
      <c r="P49" s="13">
        <f t="shared" ca="1" si="0"/>
        <v>45078</v>
      </c>
      <c r="Q49" s="11">
        <f>Table1[[#This Row],[Profit]]/Table1[[#This Row],[Total Cost]]</f>
        <v>0.19083969465648856</v>
      </c>
    </row>
    <row r="50" spans="1:17" x14ac:dyDescent="0.25">
      <c r="A50" t="s">
        <v>222</v>
      </c>
      <c r="B50" s="1" t="s">
        <v>39</v>
      </c>
      <c r="C50" s="1" t="s">
        <v>40</v>
      </c>
      <c r="D50" s="1" t="s">
        <v>223</v>
      </c>
      <c r="E50" s="2">
        <v>22</v>
      </c>
      <c r="F50" s="2" t="str">
        <f>IF(Table1[[#This Row],[Age]]&lt;=20,"Teenager",IF(Table1[[#This Row],[Age]]&lt;=50,"Adult","Senior"))</f>
        <v>Adult</v>
      </c>
      <c r="G50" s="1" t="s">
        <v>28</v>
      </c>
      <c r="H50" s="1" t="s">
        <v>42</v>
      </c>
      <c r="I50" s="2">
        <v>87</v>
      </c>
      <c r="J50" s="2">
        <v>112</v>
      </c>
      <c r="K50" s="2">
        <v>25</v>
      </c>
      <c r="L50" s="1" t="s">
        <v>224</v>
      </c>
      <c r="M50" s="1" t="s">
        <v>58</v>
      </c>
      <c r="N50" s="1" t="s">
        <v>59</v>
      </c>
      <c r="O50" s="1" t="s">
        <v>23</v>
      </c>
      <c r="P50" s="13">
        <f t="shared" ca="1" si="0"/>
        <v>45244</v>
      </c>
      <c r="Q50" s="11">
        <f>Table1[[#This Row],[Profit]]/Table1[[#This Row],[Total Cost]]</f>
        <v>0.22321428571428573</v>
      </c>
    </row>
    <row r="51" spans="1:17" x14ac:dyDescent="0.25">
      <c r="A51" t="s">
        <v>225</v>
      </c>
      <c r="B51" s="1" t="s">
        <v>47</v>
      </c>
      <c r="C51" s="1" t="s">
        <v>48</v>
      </c>
      <c r="D51" s="1" t="s">
        <v>226</v>
      </c>
      <c r="E51" s="2">
        <v>34</v>
      </c>
      <c r="F51" s="2" t="str">
        <f>IF(Table1[[#This Row],[Age]]&lt;=20,"Teenager",IF(Table1[[#This Row],[Age]]&lt;=50,"Adult","Senior"))</f>
        <v>Adult</v>
      </c>
      <c r="G51" s="1" t="s">
        <v>18</v>
      </c>
      <c r="H51" s="1" t="s">
        <v>50</v>
      </c>
      <c r="I51" s="2">
        <v>97</v>
      </c>
      <c r="J51" s="2">
        <v>122</v>
      </c>
      <c r="K51" s="2">
        <v>25</v>
      </c>
      <c r="L51" s="1" t="s">
        <v>227</v>
      </c>
      <c r="M51" s="1" t="s">
        <v>52</v>
      </c>
      <c r="N51" s="1" t="s">
        <v>52</v>
      </c>
      <c r="O51" s="1" t="s">
        <v>23</v>
      </c>
      <c r="P51" s="13">
        <f t="shared" ca="1" si="0"/>
        <v>44951</v>
      </c>
      <c r="Q51" s="11">
        <f>Table1[[#This Row],[Profit]]/Table1[[#This Row],[Total Cost]]</f>
        <v>0.20491803278688525</v>
      </c>
    </row>
    <row r="52" spans="1:17" x14ac:dyDescent="0.25">
      <c r="A52" t="s">
        <v>228</v>
      </c>
      <c r="B52" s="1" t="s">
        <v>54</v>
      </c>
      <c r="C52" s="1" t="s">
        <v>55</v>
      </c>
      <c r="D52" s="1" t="s">
        <v>229</v>
      </c>
      <c r="E52" s="2">
        <v>52</v>
      </c>
      <c r="F52" s="2" t="str">
        <f>IF(Table1[[#This Row],[Age]]&lt;=20,"Teenager",IF(Table1[[#This Row],[Age]]&lt;=50,"Adult","Senior"))</f>
        <v>Senior</v>
      </c>
      <c r="G52" s="1" t="s">
        <v>28</v>
      </c>
      <c r="H52" s="1" t="s">
        <v>56</v>
      </c>
      <c r="I52" s="2">
        <v>157</v>
      </c>
      <c r="J52" s="2">
        <v>192</v>
      </c>
      <c r="K52" s="2">
        <v>35</v>
      </c>
      <c r="L52" s="1" t="s">
        <v>230</v>
      </c>
      <c r="M52" s="1" t="s">
        <v>135</v>
      </c>
      <c r="N52" s="1" t="s">
        <v>136</v>
      </c>
      <c r="O52" s="1" t="s">
        <v>23</v>
      </c>
      <c r="P52" s="13">
        <f t="shared" ca="1" si="0"/>
        <v>45003</v>
      </c>
      <c r="Q52" s="11">
        <f>Table1[[#This Row],[Profit]]/Table1[[#This Row],[Total Cost]]</f>
        <v>0.18229166666666666</v>
      </c>
    </row>
    <row r="53" spans="1:17" x14ac:dyDescent="0.25">
      <c r="A53" t="s">
        <v>231</v>
      </c>
      <c r="B53" s="1" t="s">
        <v>61</v>
      </c>
      <c r="C53" s="1" t="s">
        <v>62</v>
      </c>
      <c r="D53" s="1" t="s">
        <v>232</v>
      </c>
      <c r="E53" s="2">
        <v>49</v>
      </c>
      <c r="F53" s="2" t="str">
        <f>IF(Table1[[#This Row],[Age]]&lt;=20,"Teenager",IF(Table1[[#This Row],[Age]]&lt;=50,"Adult","Senior"))</f>
        <v>Adult</v>
      </c>
      <c r="G53" s="1" t="s">
        <v>18</v>
      </c>
      <c r="H53" s="1" t="s">
        <v>64</v>
      </c>
      <c r="I53" s="2">
        <v>265</v>
      </c>
      <c r="J53" s="2">
        <v>315</v>
      </c>
      <c r="K53" s="2">
        <v>50</v>
      </c>
      <c r="L53" s="1" t="s">
        <v>233</v>
      </c>
      <c r="M53" s="1" t="s">
        <v>31</v>
      </c>
      <c r="N53" s="1" t="s">
        <v>22</v>
      </c>
      <c r="O53" s="1" t="s">
        <v>23</v>
      </c>
      <c r="P53" s="13">
        <f t="shared" ca="1" si="0"/>
        <v>45286</v>
      </c>
      <c r="Q53" s="11">
        <f>Table1[[#This Row],[Profit]]/Table1[[#This Row],[Total Cost]]</f>
        <v>0.15873015873015872</v>
      </c>
    </row>
    <row r="54" spans="1:17" x14ac:dyDescent="0.25">
      <c r="A54" t="s">
        <v>234</v>
      </c>
      <c r="B54" s="1" t="s">
        <v>69</v>
      </c>
      <c r="C54" s="1" t="s">
        <v>70</v>
      </c>
      <c r="D54" s="1" t="s">
        <v>235</v>
      </c>
      <c r="E54" s="2">
        <v>29</v>
      </c>
      <c r="F54" s="2" t="str">
        <f>IF(Table1[[#This Row],[Age]]&lt;=20,"Teenager",IF(Table1[[#This Row],[Age]]&lt;=50,"Adult","Senior"))</f>
        <v>Adult</v>
      </c>
      <c r="G54" s="1" t="s">
        <v>28</v>
      </c>
      <c r="H54" s="1" t="s">
        <v>29</v>
      </c>
      <c r="I54" s="2">
        <v>178</v>
      </c>
      <c r="J54" s="2">
        <v>218</v>
      </c>
      <c r="K54" s="2">
        <v>40</v>
      </c>
      <c r="L54" s="1" t="s">
        <v>43</v>
      </c>
      <c r="M54" s="1" t="s">
        <v>44</v>
      </c>
      <c r="N54" s="1" t="s">
        <v>45</v>
      </c>
      <c r="O54" s="1" t="s">
        <v>23</v>
      </c>
      <c r="P54" s="13">
        <f t="shared" ca="1" si="0"/>
        <v>45197</v>
      </c>
      <c r="Q54" s="11">
        <f>Table1[[#This Row],[Profit]]/Table1[[#This Row],[Total Cost]]</f>
        <v>0.1834862385321101</v>
      </c>
    </row>
    <row r="55" spans="1:17" x14ac:dyDescent="0.25">
      <c r="A55" t="s">
        <v>236</v>
      </c>
      <c r="B55" s="1" t="s">
        <v>76</v>
      </c>
      <c r="C55" s="1" t="s">
        <v>34</v>
      </c>
      <c r="D55" s="1" t="s">
        <v>237</v>
      </c>
      <c r="E55" s="2">
        <v>54</v>
      </c>
      <c r="F55" s="2" t="str">
        <f>IF(Table1[[#This Row],[Age]]&lt;=20,"Teenager",IF(Table1[[#This Row],[Age]]&lt;=50,"Adult","Senior"))</f>
        <v>Senior</v>
      </c>
      <c r="G55" s="1" t="s">
        <v>18</v>
      </c>
      <c r="H55" s="1" t="s">
        <v>36</v>
      </c>
      <c r="I55" s="2">
        <v>395</v>
      </c>
      <c r="J55" s="2">
        <v>475</v>
      </c>
      <c r="K55" s="2">
        <v>80</v>
      </c>
      <c r="L55" s="1" t="s">
        <v>238</v>
      </c>
      <c r="M55" s="1" t="s">
        <v>79</v>
      </c>
      <c r="N55" s="1" t="s">
        <v>80</v>
      </c>
      <c r="O55" s="1" t="s">
        <v>23</v>
      </c>
      <c r="P55" s="13">
        <f t="shared" ca="1" si="0"/>
        <v>45103</v>
      </c>
      <c r="Q55" s="11">
        <f>Table1[[#This Row],[Profit]]/Table1[[#This Row],[Total Cost]]</f>
        <v>0.16842105263157894</v>
      </c>
    </row>
    <row r="56" spans="1:17" x14ac:dyDescent="0.25">
      <c r="A56" t="s">
        <v>239</v>
      </c>
      <c r="B56" s="1" t="s">
        <v>82</v>
      </c>
      <c r="C56" s="1" t="s">
        <v>55</v>
      </c>
      <c r="D56" s="1" t="s">
        <v>240</v>
      </c>
      <c r="E56" s="2">
        <v>38</v>
      </c>
      <c r="F56" s="2" t="str">
        <f>IF(Table1[[#This Row],[Age]]&lt;=20,"Teenager",IF(Table1[[#This Row],[Age]]&lt;=50,"Adult","Senior"))</f>
        <v>Adult</v>
      </c>
      <c r="G56" s="1" t="s">
        <v>28</v>
      </c>
      <c r="H56" s="1" t="s">
        <v>56</v>
      </c>
      <c r="I56" s="2">
        <v>168</v>
      </c>
      <c r="J56" s="2">
        <v>208</v>
      </c>
      <c r="K56" s="2">
        <v>40</v>
      </c>
      <c r="L56" s="1" t="s">
        <v>241</v>
      </c>
      <c r="M56" s="1" t="s">
        <v>91</v>
      </c>
      <c r="N56" s="1" t="s">
        <v>92</v>
      </c>
      <c r="O56" s="1" t="s">
        <v>23</v>
      </c>
      <c r="P56" s="13">
        <f t="shared" ca="1" si="0"/>
        <v>45196</v>
      </c>
      <c r="Q56" s="11">
        <f>Table1[[#This Row],[Profit]]/Table1[[#This Row],[Total Cost]]</f>
        <v>0.19230769230769232</v>
      </c>
    </row>
    <row r="57" spans="1:17" x14ac:dyDescent="0.25">
      <c r="A57" t="s">
        <v>242</v>
      </c>
      <c r="B57" s="1" t="s">
        <v>88</v>
      </c>
      <c r="C57" s="1" t="s">
        <v>40</v>
      </c>
      <c r="D57" s="1" t="s">
        <v>243</v>
      </c>
      <c r="E57" s="2">
        <v>44</v>
      </c>
      <c r="F57" s="2" t="str">
        <f>IF(Table1[[#This Row],[Age]]&lt;=20,"Teenager",IF(Table1[[#This Row],[Age]]&lt;=50,"Adult","Senior"))</f>
        <v>Adult</v>
      </c>
      <c r="G57" s="1" t="s">
        <v>18</v>
      </c>
      <c r="H57" s="1" t="s">
        <v>42</v>
      </c>
      <c r="I57" s="2">
        <v>97</v>
      </c>
      <c r="J57" s="2">
        <v>127</v>
      </c>
      <c r="K57" s="2">
        <v>30</v>
      </c>
      <c r="L57" s="1" t="s">
        <v>244</v>
      </c>
      <c r="M57" s="1" t="s">
        <v>98</v>
      </c>
      <c r="N57" s="1" t="s">
        <v>99</v>
      </c>
      <c r="O57" s="1" t="s">
        <v>23</v>
      </c>
      <c r="P57" s="13">
        <f t="shared" ca="1" si="0"/>
        <v>44987</v>
      </c>
      <c r="Q57" s="11">
        <f>Table1[[#This Row],[Profit]]/Table1[[#This Row],[Total Cost]]</f>
        <v>0.23622047244094488</v>
      </c>
    </row>
    <row r="58" spans="1:17" x14ac:dyDescent="0.25">
      <c r="A58" t="s">
        <v>245</v>
      </c>
      <c r="B58" s="1" t="s">
        <v>94</v>
      </c>
      <c r="C58" s="1" t="s">
        <v>48</v>
      </c>
      <c r="D58" s="1" t="s">
        <v>246</v>
      </c>
      <c r="E58" s="2">
        <v>47</v>
      </c>
      <c r="F58" s="2" t="str">
        <f>IF(Table1[[#This Row],[Age]]&lt;=20,"Teenager",IF(Table1[[#This Row],[Age]]&lt;=50,"Adult","Senior"))</f>
        <v>Adult</v>
      </c>
      <c r="G58" s="1" t="s">
        <v>28</v>
      </c>
      <c r="H58" s="1" t="s">
        <v>96</v>
      </c>
      <c r="I58" s="2">
        <v>235</v>
      </c>
      <c r="J58" s="2">
        <v>285</v>
      </c>
      <c r="K58" s="2">
        <v>50</v>
      </c>
      <c r="L58" s="1" t="s">
        <v>247</v>
      </c>
      <c r="M58" s="1" t="s">
        <v>105</v>
      </c>
      <c r="N58" s="1" t="s">
        <v>106</v>
      </c>
      <c r="O58" s="1" t="s">
        <v>23</v>
      </c>
      <c r="P58" s="13">
        <f t="shared" ca="1" si="0"/>
        <v>45005</v>
      </c>
      <c r="Q58" s="11">
        <f>Table1[[#This Row],[Profit]]/Table1[[#This Row],[Total Cost]]</f>
        <v>0.17543859649122806</v>
      </c>
    </row>
    <row r="59" spans="1:17" x14ac:dyDescent="0.25">
      <c r="A59" t="s">
        <v>248</v>
      </c>
      <c r="B59" s="1" t="s">
        <v>101</v>
      </c>
      <c r="C59" s="1" t="s">
        <v>16</v>
      </c>
      <c r="D59" s="1" t="s">
        <v>249</v>
      </c>
      <c r="E59" s="2">
        <v>40</v>
      </c>
      <c r="F59" s="2" t="str">
        <f>IF(Table1[[#This Row],[Age]]&lt;=20,"Teenager",IF(Table1[[#This Row],[Age]]&lt;=50,"Adult","Senior"))</f>
        <v>Adult</v>
      </c>
      <c r="G59" s="1" t="s">
        <v>18</v>
      </c>
      <c r="H59" s="1" t="s">
        <v>103</v>
      </c>
      <c r="I59" s="2">
        <v>315</v>
      </c>
      <c r="J59" s="2">
        <v>375</v>
      </c>
      <c r="K59" s="2">
        <v>60</v>
      </c>
      <c r="L59" s="1" t="s">
        <v>250</v>
      </c>
      <c r="M59" s="1" t="s">
        <v>105</v>
      </c>
      <c r="N59" s="1" t="s">
        <v>106</v>
      </c>
      <c r="O59" s="1" t="s">
        <v>23</v>
      </c>
      <c r="P59" s="13">
        <f t="shared" ca="1" si="0"/>
        <v>45096</v>
      </c>
      <c r="Q59" s="11">
        <f>Table1[[#This Row],[Profit]]/Table1[[#This Row],[Total Cost]]</f>
        <v>0.16</v>
      </c>
    </row>
    <row r="60" spans="1:17" x14ac:dyDescent="0.25">
      <c r="A60" t="s">
        <v>251</v>
      </c>
      <c r="B60" s="1" t="s">
        <v>108</v>
      </c>
      <c r="C60" s="1" t="s">
        <v>26</v>
      </c>
      <c r="D60" s="1" t="s">
        <v>252</v>
      </c>
      <c r="E60" s="2">
        <v>26</v>
      </c>
      <c r="F60" s="2" t="str">
        <f>IF(Table1[[#This Row],[Age]]&lt;=20,"Teenager",IF(Table1[[#This Row],[Age]]&lt;=50,"Adult","Senior"))</f>
        <v>Adult</v>
      </c>
      <c r="G60" s="1" t="s">
        <v>28</v>
      </c>
      <c r="H60" s="1" t="s">
        <v>29</v>
      </c>
      <c r="I60" s="2">
        <v>147</v>
      </c>
      <c r="J60" s="2">
        <v>187</v>
      </c>
      <c r="K60" s="2">
        <v>40</v>
      </c>
      <c r="L60" s="1" t="s">
        <v>253</v>
      </c>
      <c r="M60" s="1" t="s">
        <v>98</v>
      </c>
      <c r="N60" s="1" t="s">
        <v>99</v>
      </c>
      <c r="O60" s="1" t="s">
        <v>23</v>
      </c>
      <c r="P60" s="13">
        <f t="shared" ca="1" si="0"/>
        <v>45020</v>
      </c>
      <c r="Q60" s="11">
        <f>Table1[[#This Row],[Profit]]/Table1[[#This Row],[Total Cost]]</f>
        <v>0.21390374331550802</v>
      </c>
    </row>
    <row r="61" spans="1:17" x14ac:dyDescent="0.25">
      <c r="A61" t="s">
        <v>254</v>
      </c>
      <c r="B61" s="1" t="s">
        <v>112</v>
      </c>
      <c r="C61" s="1" t="s">
        <v>62</v>
      </c>
      <c r="D61" s="1" t="s">
        <v>255</v>
      </c>
      <c r="E61" s="2">
        <v>52</v>
      </c>
      <c r="F61" s="2" t="str">
        <f>IF(Table1[[#This Row],[Age]]&lt;=20,"Teenager",IF(Table1[[#This Row],[Age]]&lt;=50,"Adult","Senior"))</f>
        <v>Senior</v>
      </c>
      <c r="G61" s="1" t="s">
        <v>18</v>
      </c>
      <c r="H61" s="1" t="s">
        <v>114</v>
      </c>
      <c r="I61" s="2">
        <v>358</v>
      </c>
      <c r="J61" s="2">
        <v>428</v>
      </c>
      <c r="K61" s="2">
        <v>70</v>
      </c>
      <c r="L61" s="1" t="s">
        <v>256</v>
      </c>
      <c r="M61" s="1" t="s">
        <v>44</v>
      </c>
      <c r="N61" s="1" t="s">
        <v>45</v>
      </c>
      <c r="O61" s="1" t="s">
        <v>23</v>
      </c>
      <c r="P61" s="13">
        <f t="shared" ca="1" si="0"/>
        <v>45026</v>
      </c>
      <c r="Q61" s="11">
        <f>Table1[[#This Row],[Profit]]/Table1[[#This Row],[Total Cost]]</f>
        <v>0.16355140186915887</v>
      </c>
    </row>
    <row r="62" spans="1:17" x14ac:dyDescent="0.25">
      <c r="A62" t="s">
        <v>257</v>
      </c>
      <c r="B62" s="1" t="s">
        <v>15</v>
      </c>
      <c r="C62" s="1" t="s">
        <v>16</v>
      </c>
      <c r="D62" s="1" t="s">
        <v>258</v>
      </c>
      <c r="E62" s="2">
        <v>29</v>
      </c>
      <c r="F62" s="2" t="str">
        <f>IF(Table1[[#This Row],[Age]]&lt;=20,"Teenager",IF(Table1[[#This Row],[Age]]&lt;=50,"Adult","Senior"))</f>
        <v>Adult</v>
      </c>
      <c r="G62" s="1" t="s">
        <v>28</v>
      </c>
      <c r="H62" s="1" t="s">
        <v>19</v>
      </c>
      <c r="I62" s="2">
        <v>62</v>
      </c>
      <c r="J62" s="2">
        <v>77</v>
      </c>
      <c r="K62" s="2">
        <v>15</v>
      </c>
      <c r="L62" s="1" t="s">
        <v>170</v>
      </c>
      <c r="M62" s="1" t="s">
        <v>21</v>
      </c>
      <c r="N62" s="1" t="s">
        <v>22</v>
      </c>
      <c r="O62" s="1" t="s">
        <v>23</v>
      </c>
      <c r="P62" s="13">
        <f t="shared" ca="1" si="0"/>
        <v>44953</v>
      </c>
      <c r="Q62" s="11">
        <f>Table1[[#This Row],[Profit]]/Table1[[#This Row],[Total Cost]]</f>
        <v>0.19480519480519481</v>
      </c>
    </row>
    <row r="63" spans="1:17" x14ac:dyDescent="0.25">
      <c r="A63" t="s">
        <v>259</v>
      </c>
      <c r="B63" s="1" t="s">
        <v>25</v>
      </c>
      <c r="C63" s="1" t="s">
        <v>26</v>
      </c>
      <c r="D63" s="1" t="s">
        <v>260</v>
      </c>
      <c r="E63" s="2">
        <v>36</v>
      </c>
      <c r="F63" s="2" t="str">
        <f>IF(Table1[[#This Row],[Age]]&lt;=20,"Teenager",IF(Table1[[#This Row],[Age]]&lt;=50,"Adult","Senior"))</f>
        <v>Adult</v>
      </c>
      <c r="G63" s="1" t="s">
        <v>18</v>
      </c>
      <c r="H63" s="1" t="s">
        <v>29</v>
      </c>
      <c r="I63" s="2">
        <v>128</v>
      </c>
      <c r="J63" s="2">
        <v>158</v>
      </c>
      <c r="K63" s="2">
        <v>30</v>
      </c>
      <c r="L63" s="1" t="s">
        <v>261</v>
      </c>
      <c r="M63" s="1" t="s">
        <v>31</v>
      </c>
      <c r="N63" s="1" t="s">
        <v>22</v>
      </c>
      <c r="O63" s="1" t="s">
        <v>23</v>
      </c>
      <c r="P63" s="13">
        <f t="shared" ca="1" si="0"/>
        <v>45145</v>
      </c>
      <c r="Q63" s="11">
        <f>Table1[[#This Row],[Profit]]/Table1[[#This Row],[Total Cost]]</f>
        <v>0.189873417721519</v>
      </c>
    </row>
    <row r="64" spans="1:17" x14ac:dyDescent="0.25">
      <c r="A64" t="s">
        <v>262</v>
      </c>
      <c r="B64" s="1" t="s">
        <v>33</v>
      </c>
      <c r="C64" s="1" t="s">
        <v>34</v>
      </c>
      <c r="D64" s="1" t="s">
        <v>263</v>
      </c>
      <c r="E64" s="2">
        <v>51</v>
      </c>
      <c r="F64" s="2" t="str">
        <f>IF(Table1[[#This Row],[Age]]&lt;=20,"Teenager",IF(Table1[[#This Row],[Age]]&lt;=50,"Adult","Senior"))</f>
        <v>Senior</v>
      </c>
      <c r="G64" s="1" t="s">
        <v>28</v>
      </c>
      <c r="H64" s="1" t="s">
        <v>36</v>
      </c>
      <c r="I64" s="2">
        <v>208</v>
      </c>
      <c r="J64" s="2">
        <v>258</v>
      </c>
      <c r="K64" s="2">
        <v>50</v>
      </c>
      <c r="L64" s="1" t="s">
        <v>264</v>
      </c>
      <c r="M64" s="1" t="s">
        <v>44</v>
      </c>
      <c r="N64" s="1" t="s">
        <v>45</v>
      </c>
      <c r="O64" s="1" t="s">
        <v>23</v>
      </c>
      <c r="P64" s="13">
        <f t="shared" ca="1" si="0"/>
        <v>45029</v>
      </c>
      <c r="Q64" s="11">
        <f>Table1[[#This Row],[Profit]]/Table1[[#This Row],[Total Cost]]</f>
        <v>0.19379844961240311</v>
      </c>
    </row>
    <row r="65" spans="1:17" x14ac:dyDescent="0.25">
      <c r="A65" t="s">
        <v>265</v>
      </c>
      <c r="B65" s="1" t="s">
        <v>39</v>
      </c>
      <c r="C65" s="1" t="s">
        <v>40</v>
      </c>
      <c r="D65" s="1" t="s">
        <v>266</v>
      </c>
      <c r="E65" s="2">
        <v>20</v>
      </c>
      <c r="F65" s="2" t="str">
        <f>IF(Table1[[#This Row],[Age]]&lt;=20,"Teenager",IF(Table1[[#This Row],[Age]]&lt;=50,"Adult","Senior"))</f>
        <v>Teenager</v>
      </c>
      <c r="G65" s="1" t="s">
        <v>18</v>
      </c>
      <c r="H65" s="1" t="s">
        <v>42</v>
      </c>
      <c r="I65" s="2">
        <v>83</v>
      </c>
      <c r="J65" s="2">
        <v>106</v>
      </c>
      <c r="K65" s="2">
        <v>23</v>
      </c>
      <c r="L65" s="1" t="s">
        <v>267</v>
      </c>
      <c r="M65" s="1" t="s">
        <v>58</v>
      </c>
      <c r="N65" s="1" t="s">
        <v>59</v>
      </c>
      <c r="O65" s="1" t="s">
        <v>23</v>
      </c>
      <c r="P65" s="13">
        <f t="shared" ca="1" si="0"/>
        <v>45171</v>
      </c>
      <c r="Q65" s="11">
        <f>Table1[[#This Row],[Profit]]/Table1[[#This Row],[Total Cost]]</f>
        <v>0.21698113207547171</v>
      </c>
    </row>
    <row r="66" spans="1:17" x14ac:dyDescent="0.25">
      <c r="A66" t="s">
        <v>268</v>
      </c>
      <c r="B66" s="1" t="s">
        <v>47</v>
      </c>
      <c r="C66" s="1" t="s">
        <v>48</v>
      </c>
      <c r="D66" s="1" t="s">
        <v>269</v>
      </c>
      <c r="E66" s="2">
        <v>34</v>
      </c>
      <c r="F66" s="2" t="str">
        <f>IF(Table1[[#This Row],[Age]]&lt;=20,"Teenager",IF(Table1[[#This Row],[Age]]&lt;=50,"Adult","Senior"))</f>
        <v>Adult</v>
      </c>
      <c r="G66" s="1" t="s">
        <v>28</v>
      </c>
      <c r="H66" s="1" t="s">
        <v>50</v>
      </c>
      <c r="I66" s="2">
        <v>93</v>
      </c>
      <c r="J66" s="2">
        <v>116</v>
      </c>
      <c r="K66" s="2">
        <v>23</v>
      </c>
      <c r="L66" s="1" t="s">
        <v>270</v>
      </c>
      <c r="M66" s="1" t="s">
        <v>52</v>
      </c>
      <c r="N66" s="1" t="s">
        <v>52</v>
      </c>
      <c r="O66" s="1" t="s">
        <v>23</v>
      </c>
      <c r="P66" s="13">
        <f t="shared" ref="P66:P101" ca="1" si="1">DATE(2023,RANDBETWEEN(1,12),RANDBETWEEN(1,28))</f>
        <v>45032</v>
      </c>
      <c r="Q66" s="11">
        <f>Table1[[#This Row],[Profit]]/Table1[[#This Row],[Total Cost]]</f>
        <v>0.19827586206896552</v>
      </c>
    </row>
    <row r="67" spans="1:17" x14ac:dyDescent="0.25">
      <c r="A67" t="s">
        <v>271</v>
      </c>
      <c r="B67" s="1" t="s">
        <v>54</v>
      </c>
      <c r="C67" s="1" t="s">
        <v>55</v>
      </c>
      <c r="D67" s="1" t="s">
        <v>272</v>
      </c>
      <c r="E67" s="2">
        <v>46</v>
      </c>
      <c r="F67" s="2" t="str">
        <f>IF(Table1[[#This Row],[Age]]&lt;=20,"Teenager",IF(Table1[[#This Row],[Age]]&lt;=50,"Adult","Senior"))</f>
        <v>Adult</v>
      </c>
      <c r="G67" s="1" t="s">
        <v>18</v>
      </c>
      <c r="H67" s="1" t="s">
        <v>56</v>
      </c>
      <c r="I67" s="2">
        <v>153</v>
      </c>
      <c r="J67" s="2">
        <v>186</v>
      </c>
      <c r="K67" s="2">
        <v>33</v>
      </c>
      <c r="L67" s="1" t="s">
        <v>273</v>
      </c>
      <c r="M67" s="1" t="s">
        <v>58</v>
      </c>
      <c r="N67" s="1" t="s">
        <v>59</v>
      </c>
      <c r="O67" s="1" t="s">
        <v>23</v>
      </c>
      <c r="P67" s="13">
        <f t="shared" ca="1" si="1"/>
        <v>45143</v>
      </c>
      <c r="Q67" s="11">
        <f>Table1[[#This Row],[Profit]]/Table1[[#This Row],[Total Cost]]</f>
        <v>0.17741935483870969</v>
      </c>
    </row>
    <row r="68" spans="1:17" x14ac:dyDescent="0.25">
      <c r="A68" t="s">
        <v>274</v>
      </c>
      <c r="B68" s="1" t="s">
        <v>61</v>
      </c>
      <c r="C68" s="1" t="s">
        <v>62</v>
      </c>
      <c r="D68" s="1" t="s">
        <v>275</v>
      </c>
      <c r="E68" s="2">
        <v>59</v>
      </c>
      <c r="F68" s="2" t="str">
        <f>IF(Table1[[#This Row],[Age]]&lt;=20,"Teenager",IF(Table1[[#This Row],[Age]]&lt;=50,"Adult","Senior"))</f>
        <v>Senior</v>
      </c>
      <c r="G68" s="1" t="s">
        <v>28</v>
      </c>
      <c r="H68" s="1" t="s">
        <v>64</v>
      </c>
      <c r="I68" s="2">
        <v>257</v>
      </c>
      <c r="J68" s="2">
        <v>307</v>
      </c>
      <c r="K68" s="2">
        <v>50</v>
      </c>
      <c r="L68" s="1" t="s">
        <v>276</v>
      </c>
      <c r="M68" s="1" t="s">
        <v>66</v>
      </c>
      <c r="N68" s="1" t="s">
        <v>67</v>
      </c>
      <c r="O68" s="1" t="s">
        <v>23</v>
      </c>
      <c r="P68" s="13">
        <f t="shared" ca="1" si="1"/>
        <v>45059</v>
      </c>
      <c r="Q68" s="11">
        <f>Table1[[#This Row],[Profit]]/Table1[[#This Row],[Total Cost]]</f>
        <v>0.16286644951140064</v>
      </c>
    </row>
    <row r="69" spans="1:17" x14ac:dyDescent="0.25">
      <c r="A69" t="s">
        <v>277</v>
      </c>
      <c r="B69" s="1" t="s">
        <v>69</v>
      </c>
      <c r="C69" s="1" t="s">
        <v>70</v>
      </c>
      <c r="D69" s="1" t="s">
        <v>278</v>
      </c>
      <c r="E69" s="2">
        <v>25</v>
      </c>
      <c r="F69" s="2" t="str">
        <f>IF(Table1[[#This Row],[Age]]&lt;=20,"Teenager",IF(Table1[[#This Row],[Age]]&lt;=50,"Adult","Senior"))</f>
        <v>Adult</v>
      </c>
      <c r="G69" s="1" t="s">
        <v>18</v>
      </c>
      <c r="H69" s="1" t="s">
        <v>29</v>
      </c>
      <c r="I69" s="2">
        <v>186</v>
      </c>
      <c r="J69" s="2">
        <v>226</v>
      </c>
      <c r="K69" s="2">
        <v>40</v>
      </c>
      <c r="L69" s="1" t="s">
        <v>191</v>
      </c>
      <c r="M69" s="1" t="s">
        <v>73</v>
      </c>
      <c r="N69" s="1" t="s">
        <v>74</v>
      </c>
      <c r="O69" s="1" t="s">
        <v>23</v>
      </c>
      <c r="P69" s="13">
        <f t="shared" ca="1" si="1"/>
        <v>45216</v>
      </c>
      <c r="Q69" s="11">
        <f>Table1[[#This Row],[Profit]]/Table1[[#This Row],[Total Cost]]</f>
        <v>0.17699115044247787</v>
      </c>
    </row>
    <row r="70" spans="1:17" x14ac:dyDescent="0.25">
      <c r="A70" t="s">
        <v>279</v>
      </c>
      <c r="B70" s="1" t="s">
        <v>76</v>
      </c>
      <c r="C70" s="1" t="s">
        <v>34</v>
      </c>
      <c r="D70" s="1" t="s">
        <v>280</v>
      </c>
      <c r="E70" s="2">
        <v>57</v>
      </c>
      <c r="F70" s="2" t="str">
        <f>IF(Table1[[#This Row],[Age]]&lt;=20,"Teenager",IF(Table1[[#This Row],[Age]]&lt;=50,"Adult","Senior"))</f>
        <v>Senior</v>
      </c>
      <c r="G70" s="1" t="s">
        <v>28</v>
      </c>
      <c r="H70" s="1" t="s">
        <v>36</v>
      </c>
      <c r="I70" s="2">
        <v>410</v>
      </c>
      <c r="J70" s="2">
        <v>490</v>
      </c>
      <c r="K70" s="2">
        <v>80</v>
      </c>
      <c r="L70" s="1" t="s">
        <v>281</v>
      </c>
      <c r="M70" s="1" t="s">
        <v>79</v>
      </c>
      <c r="N70" s="1" t="s">
        <v>80</v>
      </c>
      <c r="O70" s="1" t="s">
        <v>23</v>
      </c>
      <c r="P70" s="13">
        <f t="shared" ca="1" si="1"/>
        <v>45203</v>
      </c>
      <c r="Q70" s="11">
        <f>Table1[[#This Row],[Profit]]/Table1[[#This Row],[Total Cost]]</f>
        <v>0.16326530612244897</v>
      </c>
    </row>
    <row r="71" spans="1:17" x14ac:dyDescent="0.25">
      <c r="A71" t="s">
        <v>282</v>
      </c>
      <c r="B71" s="1" t="s">
        <v>82</v>
      </c>
      <c r="C71" s="1" t="s">
        <v>55</v>
      </c>
      <c r="D71" s="1" t="s">
        <v>283</v>
      </c>
      <c r="E71" s="2">
        <v>31</v>
      </c>
      <c r="F71" s="2" t="str">
        <f>IF(Table1[[#This Row],[Age]]&lt;=20,"Teenager",IF(Table1[[#This Row],[Age]]&lt;=50,"Adult","Senior"))</f>
        <v>Adult</v>
      </c>
      <c r="G71" s="1" t="s">
        <v>28</v>
      </c>
      <c r="H71" s="1" t="s">
        <v>56</v>
      </c>
      <c r="I71" s="2">
        <v>163</v>
      </c>
      <c r="J71" s="2">
        <v>203</v>
      </c>
      <c r="K71" s="2">
        <v>40</v>
      </c>
      <c r="L71" s="1" t="s">
        <v>284</v>
      </c>
      <c r="M71" s="1" t="s">
        <v>85</v>
      </c>
      <c r="N71" s="1" t="s">
        <v>86</v>
      </c>
      <c r="O71" s="1" t="s">
        <v>23</v>
      </c>
      <c r="P71" s="13">
        <f t="shared" ca="1" si="1"/>
        <v>45154</v>
      </c>
      <c r="Q71" s="11">
        <f>Table1[[#This Row],[Profit]]/Table1[[#This Row],[Total Cost]]</f>
        <v>0.19704433497536947</v>
      </c>
    </row>
    <row r="72" spans="1:17" x14ac:dyDescent="0.25">
      <c r="A72" t="s">
        <v>285</v>
      </c>
      <c r="B72" s="1" t="s">
        <v>88</v>
      </c>
      <c r="C72" s="1" t="s">
        <v>40</v>
      </c>
      <c r="D72" s="1" t="s">
        <v>286</v>
      </c>
      <c r="E72" s="2">
        <v>37</v>
      </c>
      <c r="F72" s="2" t="str">
        <f>IF(Table1[[#This Row],[Age]]&lt;=20,"Teenager",IF(Table1[[#This Row],[Age]]&lt;=50,"Adult","Senior"))</f>
        <v>Adult</v>
      </c>
      <c r="G72" s="1" t="s">
        <v>18</v>
      </c>
      <c r="H72" s="1" t="s">
        <v>42</v>
      </c>
      <c r="I72" s="2">
        <v>93</v>
      </c>
      <c r="J72" s="2">
        <v>123</v>
      </c>
      <c r="K72" s="2">
        <v>30</v>
      </c>
      <c r="L72" s="1" t="s">
        <v>287</v>
      </c>
      <c r="M72" s="1" t="s">
        <v>91</v>
      </c>
      <c r="N72" s="1" t="s">
        <v>92</v>
      </c>
      <c r="O72" s="1" t="s">
        <v>23</v>
      </c>
      <c r="P72" s="13">
        <f t="shared" ca="1" si="1"/>
        <v>45108</v>
      </c>
      <c r="Q72" s="11">
        <f>Table1[[#This Row],[Profit]]/Table1[[#This Row],[Total Cost]]</f>
        <v>0.24390243902439024</v>
      </c>
    </row>
    <row r="73" spans="1:17" x14ac:dyDescent="0.25">
      <c r="A73" t="s">
        <v>288</v>
      </c>
      <c r="B73" s="1" t="s">
        <v>94</v>
      </c>
      <c r="C73" s="1" t="s">
        <v>48</v>
      </c>
      <c r="D73" s="1" t="s">
        <v>289</v>
      </c>
      <c r="E73" s="2">
        <v>44</v>
      </c>
      <c r="F73" s="2" t="str">
        <f>IF(Table1[[#This Row],[Age]]&lt;=20,"Teenager",IF(Table1[[#This Row],[Age]]&lt;=50,"Adult","Senior"))</f>
        <v>Adult</v>
      </c>
      <c r="G73" s="1" t="s">
        <v>28</v>
      </c>
      <c r="H73" s="1" t="s">
        <v>96</v>
      </c>
      <c r="I73" s="2">
        <v>227</v>
      </c>
      <c r="J73" s="2">
        <v>277</v>
      </c>
      <c r="K73" s="2">
        <v>50</v>
      </c>
      <c r="L73" s="1" t="s">
        <v>290</v>
      </c>
      <c r="M73" s="1" t="s">
        <v>98</v>
      </c>
      <c r="N73" s="1" t="s">
        <v>99</v>
      </c>
      <c r="O73" s="1" t="s">
        <v>23</v>
      </c>
      <c r="P73" s="13">
        <f t="shared" ca="1" si="1"/>
        <v>45272</v>
      </c>
      <c r="Q73" s="11">
        <f>Table1[[#This Row],[Profit]]/Table1[[#This Row],[Total Cost]]</f>
        <v>0.18050541516245489</v>
      </c>
    </row>
    <row r="74" spans="1:17" x14ac:dyDescent="0.25">
      <c r="A74" t="s">
        <v>291</v>
      </c>
      <c r="B74" s="1" t="s">
        <v>101</v>
      </c>
      <c r="C74" s="1" t="s">
        <v>16</v>
      </c>
      <c r="D74" s="1" t="s">
        <v>292</v>
      </c>
      <c r="E74" s="2">
        <v>49</v>
      </c>
      <c r="F74" s="2" t="str">
        <f>IF(Table1[[#This Row],[Age]]&lt;=20,"Teenager",IF(Table1[[#This Row],[Age]]&lt;=50,"Adult","Senior"))</f>
        <v>Adult</v>
      </c>
      <c r="G74" s="1" t="s">
        <v>18</v>
      </c>
      <c r="H74" s="1" t="s">
        <v>103</v>
      </c>
      <c r="I74" s="2">
        <v>307</v>
      </c>
      <c r="J74" s="2">
        <v>367</v>
      </c>
      <c r="K74" s="2">
        <v>60</v>
      </c>
      <c r="L74" s="1" t="s">
        <v>293</v>
      </c>
      <c r="M74" s="1" t="s">
        <v>105</v>
      </c>
      <c r="N74" s="1" t="s">
        <v>106</v>
      </c>
      <c r="O74" s="1" t="s">
        <v>23</v>
      </c>
      <c r="P74" s="13">
        <f t="shared" ca="1" si="1"/>
        <v>45166</v>
      </c>
      <c r="Q74" s="11">
        <f>Table1[[#This Row],[Profit]]/Table1[[#This Row],[Total Cost]]</f>
        <v>0.16348773841961853</v>
      </c>
    </row>
    <row r="75" spans="1:17" x14ac:dyDescent="0.25">
      <c r="A75" t="s">
        <v>294</v>
      </c>
      <c r="B75" s="1" t="s">
        <v>108</v>
      </c>
      <c r="C75" s="1" t="s">
        <v>26</v>
      </c>
      <c r="D75" s="1" t="s">
        <v>295</v>
      </c>
      <c r="E75" s="2">
        <v>28</v>
      </c>
      <c r="F75" s="2" t="str">
        <f>IF(Table1[[#This Row],[Age]]&lt;=20,"Teenager",IF(Table1[[#This Row],[Age]]&lt;=50,"Adult","Senior"))</f>
        <v>Adult</v>
      </c>
      <c r="G75" s="1" t="s">
        <v>28</v>
      </c>
      <c r="H75" s="1" t="s">
        <v>29</v>
      </c>
      <c r="I75" s="2">
        <v>143</v>
      </c>
      <c r="J75" s="2">
        <v>183</v>
      </c>
      <c r="K75" s="2">
        <v>40</v>
      </c>
      <c r="L75" s="1" t="s">
        <v>296</v>
      </c>
      <c r="M75" s="1" t="s">
        <v>98</v>
      </c>
      <c r="N75" s="1" t="s">
        <v>99</v>
      </c>
      <c r="O75" s="1" t="s">
        <v>23</v>
      </c>
      <c r="P75" s="13">
        <f t="shared" ca="1" si="1"/>
        <v>44931</v>
      </c>
      <c r="Q75" s="11">
        <f>Table1[[#This Row],[Profit]]/Table1[[#This Row],[Total Cost]]</f>
        <v>0.21857923497267759</v>
      </c>
    </row>
    <row r="76" spans="1:17" x14ac:dyDescent="0.25">
      <c r="A76" t="s">
        <v>297</v>
      </c>
      <c r="B76" s="1" t="s">
        <v>112</v>
      </c>
      <c r="C76" s="1" t="s">
        <v>62</v>
      </c>
      <c r="D76" s="1" t="s">
        <v>298</v>
      </c>
      <c r="E76" s="2">
        <v>54</v>
      </c>
      <c r="F76" s="2" t="str">
        <f>IF(Table1[[#This Row],[Age]]&lt;=20,"Teenager",IF(Table1[[#This Row],[Age]]&lt;=50,"Adult","Senior"))</f>
        <v>Senior</v>
      </c>
      <c r="G76" s="1" t="s">
        <v>18</v>
      </c>
      <c r="H76" s="1" t="s">
        <v>114</v>
      </c>
      <c r="I76" s="2">
        <v>354</v>
      </c>
      <c r="J76" s="2">
        <v>424</v>
      </c>
      <c r="K76" s="2">
        <v>70</v>
      </c>
      <c r="L76" s="1" t="s">
        <v>299</v>
      </c>
      <c r="M76" s="1" t="s">
        <v>116</v>
      </c>
      <c r="N76" s="1" t="s">
        <v>22</v>
      </c>
      <c r="O76" s="1" t="s">
        <v>23</v>
      </c>
      <c r="P76" s="13">
        <f t="shared" ca="1" si="1"/>
        <v>44970</v>
      </c>
      <c r="Q76" s="11">
        <f>Table1[[#This Row],[Profit]]/Table1[[#This Row],[Total Cost]]</f>
        <v>0.1650943396226415</v>
      </c>
    </row>
    <row r="77" spans="1:17" x14ac:dyDescent="0.25">
      <c r="A77" t="s">
        <v>300</v>
      </c>
      <c r="B77" s="1" t="s">
        <v>15</v>
      </c>
      <c r="C77" s="1" t="s">
        <v>16</v>
      </c>
      <c r="D77" s="1" t="s">
        <v>301</v>
      </c>
      <c r="E77" s="2">
        <v>37</v>
      </c>
      <c r="F77" s="2" t="str">
        <f>IF(Table1[[#This Row],[Age]]&lt;=20,"Teenager",IF(Table1[[#This Row],[Age]]&lt;=50,"Adult","Senior"))</f>
        <v>Adult</v>
      </c>
      <c r="G77" s="1" t="s">
        <v>28</v>
      </c>
      <c r="H77" s="1" t="s">
        <v>19</v>
      </c>
      <c r="I77" s="2">
        <v>59</v>
      </c>
      <c r="J77" s="2">
        <v>74</v>
      </c>
      <c r="K77" s="2">
        <v>15</v>
      </c>
      <c r="L77" s="1" t="s">
        <v>302</v>
      </c>
      <c r="M77" s="1" t="s">
        <v>21</v>
      </c>
      <c r="N77" s="1" t="s">
        <v>22</v>
      </c>
      <c r="O77" s="1" t="s">
        <v>23</v>
      </c>
      <c r="P77" s="13">
        <f t="shared" ca="1" si="1"/>
        <v>44992</v>
      </c>
      <c r="Q77" s="11">
        <f>Table1[[#This Row],[Profit]]/Table1[[#This Row],[Total Cost]]</f>
        <v>0.20270270270270271</v>
      </c>
    </row>
    <row r="78" spans="1:17" x14ac:dyDescent="0.25">
      <c r="A78" t="s">
        <v>303</v>
      </c>
      <c r="B78" s="1" t="s">
        <v>25</v>
      </c>
      <c r="C78" s="1" t="s">
        <v>26</v>
      </c>
      <c r="D78" s="1" t="s">
        <v>304</v>
      </c>
      <c r="E78" s="2">
        <v>42</v>
      </c>
      <c r="F78" s="2" t="str">
        <f>IF(Table1[[#This Row],[Age]]&lt;=20,"Teenager",IF(Table1[[#This Row],[Age]]&lt;=50,"Adult","Senior"))</f>
        <v>Adult</v>
      </c>
      <c r="G78" s="1" t="s">
        <v>18</v>
      </c>
      <c r="H78" s="1" t="s">
        <v>29</v>
      </c>
      <c r="I78" s="2">
        <v>133</v>
      </c>
      <c r="J78" s="2">
        <v>163</v>
      </c>
      <c r="K78" s="2">
        <v>30</v>
      </c>
      <c r="L78" s="1" t="s">
        <v>305</v>
      </c>
      <c r="M78" s="1" t="s">
        <v>31</v>
      </c>
      <c r="N78" s="1" t="s">
        <v>22</v>
      </c>
      <c r="O78" s="1" t="s">
        <v>23</v>
      </c>
      <c r="P78" s="13">
        <f t="shared" ca="1" si="1"/>
        <v>44928</v>
      </c>
      <c r="Q78" s="11">
        <f>Table1[[#This Row],[Profit]]/Table1[[#This Row],[Total Cost]]</f>
        <v>0.18404907975460122</v>
      </c>
    </row>
    <row r="79" spans="1:17" x14ac:dyDescent="0.25">
      <c r="A79" t="s">
        <v>306</v>
      </c>
      <c r="B79" s="1" t="s">
        <v>33</v>
      </c>
      <c r="C79" s="1" t="s">
        <v>34</v>
      </c>
      <c r="D79" s="1" t="s">
        <v>307</v>
      </c>
      <c r="E79" s="2">
        <v>48</v>
      </c>
      <c r="F79" s="2" t="str">
        <f>IF(Table1[[#This Row],[Age]]&lt;=20,"Teenager",IF(Table1[[#This Row],[Age]]&lt;=50,"Adult","Senior"))</f>
        <v>Adult</v>
      </c>
      <c r="G79" s="1" t="s">
        <v>28</v>
      </c>
      <c r="H79" s="1" t="s">
        <v>36</v>
      </c>
      <c r="I79" s="2">
        <v>213</v>
      </c>
      <c r="J79" s="2">
        <v>263</v>
      </c>
      <c r="K79" s="2">
        <v>50</v>
      </c>
      <c r="L79" s="1" t="s">
        <v>308</v>
      </c>
      <c r="M79" s="1" t="s">
        <v>44</v>
      </c>
      <c r="N79" s="1" t="s">
        <v>45</v>
      </c>
      <c r="O79" s="1" t="s">
        <v>23</v>
      </c>
      <c r="P79" s="13">
        <f t="shared" ca="1" si="1"/>
        <v>45081</v>
      </c>
      <c r="Q79" s="11">
        <f>Table1[[#This Row],[Profit]]/Table1[[#This Row],[Total Cost]]</f>
        <v>0.19011406844106463</v>
      </c>
    </row>
    <row r="80" spans="1:17" x14ac:dyDescent="0.25">
      <c r="A80" t="s">
        <v>309</v>
      </c>
      <c r="B80" s="1" t="s">
        <v>39</v>
      </c>
      <c r="C80" s="1" t="s">
        <v>40</v>
      </c>
      <c r="D80" s="1" t="s">
        <v>310</v>
      </c>
      <c r="E80" s="2">
        <v>24</v>
      </c>
      <c r="F80" s="2" t="str">
        <f>IF(Table1[[#This Row],[Age]]&lt;=20,"Teenager",IF(Table1[[#This Row],[Age]]&lt;=50,"Adult","Senior"))</f>
        <v>Adult</v>
      </c>
      <c r="G80" s="1" t="s">
        <v>18</v>
      </c>
      <c r="H80" s="1" t="s">
        <v>42</v>
      </c>
      <c r="I80" s="2">
        <v>88</v>
      </c>
      <c r="J80" s="2">
        <v>113</v>
      </c>
      <c r="K80" s="2">
        <v>25</v>
      </c>
      <c r="L80" s="1" t="s">
        <v>311</v>
      </c>
      <c r="M80" s="1" t="s">
        <v>58</v>
      </c>
      <c r="N80" s="1" t="s">
        <v>59</v>
      </c>
      <c r="O80" s="1" t="s">
        <v>23</v>
      </c>
      <c r="P80" s="13">
        <f t="shared" ca="1" si="1"/>
        <v>44982</v>
      </c>
      <c r="Q80" s="11">
        <f>Table1[[#This Row],[Profit]]/Table1[[#This Row],[Total Cost]]</f>
        <v>0.22123893805309736</v>
      </c>
    </row>
    <row r="81" spans="1:17" x14ac:dyDescent="0.25">
      <c r="A81" t="s">
        <v>312</v>
      </c>
      <c r="B81" s="1" t="s">
        <v>47</v>
      </c>
      <c r="C81" s="1" t="s">
        <v>48</v>
      </c>
      <c r="D81" s="1" t="s">
        <v>313</v>
      </c>
      <c r="E81" s="2">
        <v>35</v>
      </c>
      <c r="F81" s="2" t="str">
        <f>IF(Table1[[#This Row],[Age]]&lt;=20,"Teenager",IF(Table1[[#This Row],[Age]]&lt;=50,"Adult","Senior"))</f>
        <v>Adult</v>
      </c>
      <c r="G81" s="1" t="s">
        <v>28</v>
      </c>
      <c r="H81" s="1" t="s">
        <v>50</v>
      </c>
      <c r="I81" s="2">
        <v>98</v>
      </c>
      <c r="J81" s="2">
        <v>123</v>
      </c>
      <c r="K81" s="2">
        <v>25</v>
      </c>
      <c r="L81" s="1" t="s">
        <v>314</v>
      </c>
      <c r="M81" s="1" t="s">
        <v>52</v>
      </c>
      <c r="N81" s="1" t="s">
        <v>52</v>
      </c>
      <c r="O81" s="1" t="s">
        <v>23</v>
      </c>
      <c r="P81" s="13">
        <f t="shared" ca="1" si="1"/>
        <v>45139</v>
      </c>
      <c r="Q81" s="11">
        <f>Table1[[#This Row],[Profit]]/Table1[[#This Row],[Total Cost]]</f>
        <v>0.2032520325203252</v>
      </c>
    </row>
    <row r="82" spans="1:17" x14ac:dyDescent="0.25">
      <c r="A82" t="s">
        <v>315</v>
      </c>
      <c r="B82" s="1" t="s">
        <v>54</v>
      </c>
      <c r="C82" s="1" t="s">
        <v>55</v>
      </c>
      <c r="D82" s="1" t="s">
        <v>316</v>
      </c>
      <c r="E82" s="2">
        <v>53</v>
      </c>
      <c r="F82" s="2" t="str">
        <f>IF(Table1[[#This Row],[Age]]&lt;=20,"Teenager",IF(Table1[[#This Row],[Age]]&lt;=50,"Adult","Senior"))</f>
        <v>Senior</v>
      </c>
      <c r="G82" s="1" t="s">
        <v>18</v>
      </c>
      <c r="H82" s="1" t="s">
        <v>56</v>
      </c>
      <c r="I82" s="2">
        <v>158</v>
      </c>
      <c r="J82" s="2">
        <v>193</v>
      </c>
      <c r="K82" s="2">
        <v>35</v>
      </c>
      <c r="L82" s="1" t="s">
        <v>317</v>
      </c>
      <c r="M82" s="1" t="s">
        <v>135</v>
      </c>
      <c r="N82" s="1" t="s">
        <v>136</v>
      </c>
      <c r="O82" s="1" t="s">
        <v>23</v>
      </c>
      <c r="P82" s="13">
        <f t="shared" ca="1" si="1"/>
        <v>45179</v>
      </c>
      <c r="Q82" s="11">
        <f>Table1[[#This Row],[Profit]]/Table1[[#This Row],[Total Cost]]</f>
        <v>0.18134715025906736</v>
      </c>
    </row>
    <row r="83" spans="1:17" x14ac:dyDescent="0.25">
      <c r="A83" t="s">
        <v>318</v>
      </c>
      <c r="B83" s="1" t="s">
        <v>61</v>
      </c>
      <c r="C83" s="1" t="s">
        <v>62</v>
      </c>
      <c r="D83" s="1" t="s">
        <v>319</v>
      </c>
      <c r="E83" s="2">
        <v>50</v>
      </c>
      <c r="F83" s="2" t="str">
        <f>IF(Table1[[#This Row],[Age]]&lt;=20,"Teenager",IF(Table1[[#This Row],[Age]]&lt;=50,"Adult","Senior"))</f>
        <v>Adult</v>
      </c>
      <c r="G83" s="1" t="s">
        <v>28</v>
      </c>
      <c r="H83" s="1" t="s">
        <v>64</v>
      </c>
      <c r="I83" s="2">
        <v>266</v>
      </c>
      <c r="J83" s="2">
        <v>316</v>
      </c>
      <c r="K83" s="2">
        <v>50</v>
      </c>
      <c r="L83" s="1" t="s">
        <v>122</v>
      </c>
      <c r="M83" s="1" t="s">
        <v>31</v>
      </c>
      <c r="N83" s="1" t="s">
        <v>22</v>
      </c>
      <c r="O83" s="1" t="s">
        <v>23</v>
      </c>
      <c r="P83" s="13">
        <f t="shared" ca="1" si="1"/>
        <v>45209</v>
      </c>
      <c r="Q83" s="11">
        <f>Table1[[#This Row],[Profit]]/Table1[[#This Row],[Total Cost]]</f>
        <v>0.15822784810126583</v>
      </c>
    </row>
    <row r="84" spans="1:17" x14ac:dyDescent="0.25">
      <c r="A84" t="s">
        <v>320</v>
      </c>
      <c r="B84" s="1" t="s">
        <v>69</v>
      </c>
      <c r="C84" s="1" t="s">
        <v>70</v>
      </c>
      <c r="D84" s="1" t="s">
        <v>321</v>
      </c>
      <c r="E84" s="2">
        <v>30</v>
      </c>
      <c r="F84" s="2" t="str">
        <f>IF(Table1[[#This Row],[Age]]&lt;=20,"Teenager",IF(Table1[[#This Row],[Age]]&lt;=50,"Adult","Senior"))</f>
        <v>Adult</v>
      </c>
      <c r="G84" s="1" t="s">
        <v>18</v>
      </c>
      <c r="H84" s="1" t="s">
        <v>29</v>
      </c>
      <c r="I84" s="2">
        <v>179</v>
      </c>
      <c r="J84" s="2">
        <v>219</v>
      </c>
      <c r="K84" s="2">
        <v>40</v>
      </c>
      <c r="L84" s="1" t="s">
        <v>125</v>
      </c>
      <c r="M84" s="1" t="s">
        <v>44</v>
      </c>
      <c r="N84" s="1" t="s">
        <v>45</v>
      </c>
      <c r="O84" s="1" t="s">
        <v>23</v>
      </c>
      <c r="P84" s="13">
        <f t="shared" ca="1" si="1"/>
        <v>45225</v>
      </c>
      <c r="Q84" s="11">
        <f>Table1[[#This Row],[Profit]]/Table1[[#This Row],[Total Cost]]</f>
        <v>0.18264840182648401</v>
      </c>
    </row>
    <row r="85" spans="1:17" x14ac:dyDescent="0.25">
      <c r="A85" t="s">
        <v>322</v>
      </c>
      <c r="B85" s="1" t="s">
        <v>76</v>
      </c>
      <c r="C85" s="1" t="s">
        <v>34</v>
      </c>
      <c r="D85" s="1" t="s">
        <v>323</v>
      </c>
      <c r="E85" s="2">
        <v>55</v>
      </c>
      <c r="F85" s="2" t="str">
        <f>IF(Table1[[#This Row],[Age]]&lt;=20,"Teenager",IF(Table1[[#This Row],[Age]]&lt;=50,"Adult","Senior"))</f>
        <v>Senior</v>
      </c>
      <c r="G85" s="1" t="s">
        <v>28</v>
      </c>
      <c r="H85" s="1" t="s">
        <v>36</v>
      </c>
      <c r="I85" s="2">
        <v>396</v>
      </c>
      <c r="J85" s="2">
        <v>476</v>
      </c>
      <c r="K85" s="2">
        <v>80</v>
      </c>
      <c r="L85" s="1" t="s">
        <v>324</v>
      </c>
      <c r="M85" s="1" t="s">
        <v>79</v>
      </c>
      <c r="N85" s="1" t="s">
        <v>80</v>
      </c>
      <c r="O85" s="1" t="s">
        <v>23</v>
      </c>
      <c r="P85" s="13">
        <f t="shared" ca="1" si="1"/>
        <v>45029</v>
      </c>
      <c r="Q85" s="11">
        <f>Table1[[#This Row],[Profit]]/Table1[[#This Row],[Total Cost]]</f>
        <v>0.16806722689075632</v>
      </c>
    </row>
    <row r="86" spans="1:17" x14ac:dyDescent="0.25">
      <c r="A86" t="s">
        <v>325</v>
      </c>
      <c r="B86" s="1" t="s">
        <v>82</v>
      </c>
      <c r="C86" s="1" t="s">
        <v>55</v>
      </c>
      <c r="D86" s="1" t="s">
        <v>326</v>
      </c>
      <c r="E86" s="2">
        <v>39</v>
      </c>
      <c r="F86" s="2" t="str">
        <f>IF(Table1[[#This Row],[Age]]&lt;=20,"Teenager",IF(Table1[[#This Row],[Age]]&lt;=50,"Adult","Senior"))</f>
        <v>Adult</v>
      </c>
      <c r="G86" s="1" t="s">
        <v>18</v>
      </c>
      <c r="H86" s="1" t="s">
        <v>56</v>
      </c>
      <c r="I86" s="2">
        <v>169</v>
      </c>
      <c r="J86" s="2">
        <v>209</v>
      </c>
      <c r="K86" s="2">
        <v>40</v>
      </c>
      <c r="L86" s="1" t="s">
        <v>327</v>
      </c>
      <c r="M86" s="1" t="s">
        <v>91</v>
      </c>
      <c r="N86" s="1" t="s">
        <v>92</v>
      </c>
      <c r="O86" s="1" t="s">
        <v>23</v>
      </c>
      <c r="P86" s="13">
        <f t="shared" ca="1" si="1"/>
        <v>45172</v>
      </c>
      <c r="Q86" s="11">
        <f>Table1[[#This Row],[Profit]]/Table1[[#This Row],[Total Cost]]</f>
        <v>0.19138755980861244</v>
      </c>
    </row>
    <row r="87" spans="1:17" x14ac:dyDescent="0.25">
      <c r="A87" t="s">
        <v>328</v>
      </c>
      <c r="B87" s="1" t="s">
        <v>88</v>
      </c>
      <c r="C87" s="1" t="s">
        <v>40</v>
      </c>
      <c r="D87" s="1" t="s">
        <v>329</v>
      </c>
      <c r="E87" s="2">
        <v>45</v>
      </c>
      <c r="F87" s="2" t="str">
        <f>IF(Table1[[#This Row],[Age]]&lt;=20,"Teenager",IF(Table1[[#This Row],[Age]]&lt;=50,"Adult","Senior"))</f>
        <v>Adult</v>
      </c>
      <c r="G87" s="1" t="s">
        <v>28</v>
      </c>
      <c r="H87" s="1" t="s">
        <v>42</v>
      </c>
      <c r="I87" s="2">
        <v>98</v>
      </c>
      <c r="J87" s="2">
        <v>128</v>
      </c>
      <c r="K87" s="2">
        <v>30</v>
      </c>
      <c r="L87" s="1" t="s">
        <v>330</v>
      </c>
      <c r="M87" s="1" t="s">
        <v>98</v>
      </c>
      <c r="N87" s="1" t="s">
        <v>99</v>
      </c>
      <c r="O87" s="1" t="s">
        <v>23</v>
      </c>
      <c r="P87" s="13">
        <f t="shared" ca="1" si="1"/>
        <v>45141</v>
      </c>
      <c r="Q87" s="11">
        <f>Table1[[#This Row],[Profit]]/Table1[[#This Row],[Total Cost]]</f>
        <v>0.234375</v>
      </c>
    </row>
    <row r="88" spans="1:17" x14ac:dyDescent="0.25">
      <c r="A88" t="s">
        <v>331</v>
      </c>
      <c r="B88" s="1" t="s">
        <v>94</v>
      </c>
      <c r="C88" s="1" t="s">
        <v>48</v>
      </c>
      <c r="D88" s="1" t="s">
        <v>332</v>
      </c>
      <c r="E88" s="2">
        <v>48</v>
      </c>
      <c r="F88" s="2" t="str">
        <f>IF(Table1[[#This Row],[Age]]&lt;=20,"Teenager",IF(Table1[[#This Row],[Age]]&lt;=50,"Adult","Senior"))</f>
        <v>Adult</v>
      </c>
      <c r="G88" s="1" t="s">
        <v>18</v>
      </c>
      <c r="H88" s="1" t="s">
        <v>96</v>
      </c>
      <c r="I88" s="2">
        <v>236</v>
      </c>
      <c r="J88" s="2">
        <v>286</v>
      </c>
      <c r="K88" s="2">
        <v>50</v>
      </c>
      <c r="L88" s="1" t="s">
        <v>333</v>
      </c>
      <c r="M88" s="1" t="s">
        <v>105</v>
      </c>
      <c r="N88" s="1" t="s">
        <v>106</v>
      </c>
      <c r="O88" s="1" t="s">
        <v>23</v>
      </c>
      <c r="P88" s="13">
        <f t="shared" ca="1" si="1"/>
        <v>44938</v>
      </c>
      <c r="Q88" s="11">
        <f>Table1[[#This Row],[Profit]]/Table1[[#This Row],[Total Cost]]</f>
        <v>0.17482517482517482</v>
      </c>
    </row>
    <row r="89" spans="1:17" x14ac:dyDescent="0.25">
      <c r="A89" t="s">
        <v>334</v>
      </c>
      <c r="B89" s="1" t="s">
        <v>101</v>
      </c>
      <c r="C89" s="1" t="s">
        <v>16</v>
      </c>
      <c r="D89" s="1" t="s">
        <v>335</v>
      </c>
      <c r="E89" s="2">
        <v>41</v>
      </c>
      <c r="F89" s="2" t="str">
        <f>IF(Table1[[#This Row],[Age]]&lt;=20,"Teenager",IF(Table1[[#This Row],[Age]]&lt;=50,"Adult","Senior"))</f>
        <v>Adult</v>
      </c>
      <c r="G89" s="1" t="s">
        <v>18</v>
      </c>
      <c r="H89" s="1" t="s">
        <v>103</v>
      </c>
      <c r="I89" s="2">
        <v>316</v>
      </c>
      <c r="J89" s="2">
        <v>376</v>
      </c>
      <c r="K89" s="2">
        <v>60</v>
      </c>
      <c r="L89" s="1" t="s">
        <v>336</v>
      </c>
      <c r="M89" s="1" t="s">
        <v>105</v>
      </c>
      <c r="N89" s="1" t="s">
        <v>106</v>
      </c>
      <c r="O89" s="1" t="s">
        <v>23</v>
      </c>
      <c r="P89" s="13">
        <f t="shared" ca="1" si="1"/>
        <v>45227</v>
      </c>
      <c r="Q89" s="11">
        <f>Table1[[#This Row],[Profit]]/Table1[[#This Row],[Total Cost]]</f>
        <v>0.15957446808510639</v>
      </c>
    </row>
    <row r="90" spans="1:17" x14ac:dyDescent="0.25">
      <c r="A90" t="s">
        <v>337</v>
      </c>
      <c r="B90" s="1" t="s">
        <v>108</v>
      </c>
      <c r="C90" s="1" t="s">
        <v>26</v>
      </c>
      <c r="D90" s="1" t="s">
        <v>338</v>
      </c>
      <c r="E90" s="2">
        <v>27</v>
      </c>
      <c r="F90" s="2" t="str">
        <f>IF(Table1[[#This Row],[Age]]&lt;=20,"Teenager",IF(Table1[[#This Row],[Age]]&lt;=50,"Adult","Senior"))</f>
        <v>Adult</v>
      </c>
      <c r="G90" s="1" t="s">
        <v>28</v>
      </c>
      <c r="H90" s="1" t="s">
        <v>29</v>
      </c>
      <c r="I90" s="2">
        <v>148</v>
      </c>
      <c r="J90" s="2">
        <v>188</v>
      </c>
      <c r="K90" s="2">
        <v>40</v>
      </c>
      <c r="L90" s="1" t="s">
        <v>339</v>
      </c>
      <c r="M90" s="1" t="s">
        <v>98</v>
      </c>
      <c r="N90" s="1" t="s">
        <v>99</v>
      </c>
      <c r="O90" s="1" t="s">
        <v>23</v>
      </c>
      <c r="P90" s="13">
        <f t="shared" ca="1" si="1"/>
        <v>45105</v>
      </c>
      <c r="Q90" s="11">
        <f>Table1[[#This Row],[Profit]]/Table1[[#This Row],[Total Cost]]</f>
        <v>0.21276595744680851</v>
      </c>
    </row>
    <row r="91" spans="1:17" x14ac:dyDescent="0.25">
      <c r="A91" t="s">
        <v>340</v>
      </c>
      <c r="B91" s="1" t="s">
        <v>112</v>
      </c>
      <c r="C91" s="1" t="s">
        <v>62</v>
      </c>
      <c r="D91" s="1" t="s">
        <v>341</v>
      </c>
      <c r="E91" s="2">
        <v>53</v>
      </c>
      <c r="F91" s="2" t="str">
        <f>IF(Table1[[#This Row],[Age]]&lt;=20,"Teenager",IF(Table1[[#This Row],[Age]]&lt;=50,"Adult","Senior"))</f>
        <v>Senior</v>
      </c>
      <c r="G91" s="1" t="s">
        <v>18</v>
      </c>
      <c r="H91" s="1" t="s">
        <v>114</v>
      </c>
      <c r="I91" s="2">
        <v>359</v>
      </c>
      <c r="J91" s="2">
        <v>429</v>
      </c>
      <c r="K91" s="2">
        <v>70</v>
      </c>
      <c r="L91" s="1" t="s">
        <v>342</v>
      </c>
      <c r="M91" s="1" t="s">
        <v>44</v>
      </c>
      <c r="N91" s="1" t="s">
        <v>45</v>
      </c>
      <c r="O91" s="1" t="s">
        <v>23</v>
      </c>
      <c r="P91" s="13">
        <f t="shared" ca="1" si="1"/>
        <v>45103</v>
      </c>
      <c r="Q91" s="11">
        <f>Table1[[#This Row],[Profit]]/Table1[[#This Row],[Total Cost]]</f>
        <v>0.16317016317016317</v>
      </c>
    </row>
    <row r="92" spans="1:17" x14ac:dyDescent="0.25">
      <c r="A92" t="s">
        <v>343</v>
      </c>
      <c r="B92" s="1" t="s">
        <v>15</v>
      </c>
      <c r="C92" s="1" t="s">
        <v>16</v>
      </c>
      <c r="D92" s="1" t="s">
        <v>344</v>
      </c>
      <c r="E92" s="2">
        <v>30</v>
      </c>
      <c r="F92" s="2" t="str">
        <f>IF(Table1[[#This Row],[Age]]&lt;=20,"Teenager",IF(Table1[[#This Row],[Age]]&lt;=50,"Adult","Senior"))</f>
        <v>Adult</v>
      </c>
      <c r="G92" s="1" t="s">
        <v>28</v>
      </c>
      <c r="H92" s="1" t="s">
        <v>19</v>
      </c>
      <c r="I92" s="2">
        <v>61</v>
      </c>
      <c r="J92" s="2">
        <v>76</v>
      </c>
      <c r="K92" s="2">
        <v>15</v>
      </c>
      <c r="L92" s="1" t="s">
        <v>345</v>
      </c>
      <c r="M92" s="1" t="s">
        <v>21</v>
      </c>
      <c r="N92" s="1" t="s">
        <v>22</v>
      </c>
      <c r="O92" s="1" t="s">
        <v>23</v>
      </c>
      <c r="P92" s="13">
        <f t="shared" ca="1" si="1"/>
        <v>45236</v>
      </c>
      <c r="Q92" s="11">
        <f>Table1[[#This Row],[Profit]]/Table1[[#This Row],[Total Cost]]</f>
        <v>0.19736842105263158</v>
      </c>
    </row>
    <row r="93" spans="1:17" x14ac:dyDescent="0.25">
      <c r="A93" t="s">
        <v>346</v>
      </c>
      <c r="B93" s="1" t="s">
        <v>25</v>
      </c>
      <c r="C93" s="1" t="s">
        <v>26</v>
      </c>
      <c r="D93" s="1" t="s">
        <v>347</v>
      </c>
      <c r="E93" s="2">
        <v>38</v>
      </c>
      <c r="F93" s="2" t="str">
        <f>IF(Table1[[#This Row],[Age]]&lt;=20,"Teenager",IF(Table1[[#This Row],[Age]]&lt;=50,"Adult","Senior"))</f>
        <v>Adult</v>
      </c>
      <c r="G93" s="1" t="s">
        <v>18</v>
      </c>
      <c r="H93" s="1" t="s">
        <v>29</v>
      </c>
      <c r="I93" s="2">
        <v>129</v>
      </c>
      <c r="J93" s="2">
        <v>159</v>
      </c>
      <c r="K93" s="2">
        <v>30</v>
      </c>
      <c r="L93" s="1" t="s">
        <v>348</v>
      </c>
      <c r="M93" s="1" t="s">
        <v>31</v>
      </c>
      <c r="N93" s="1" t="s">
        <v>22</v>
      </c>
      <c r="O93" s="1" t="s">
        <v>23</v>
      </c>
      <c r="P93" s="13">
        <f t="shared" ca="1" si="1"/>
        <v>45153</v>
      </c>
      <c r="Q93" s="11">
        <f>Table1[[#This Row],[Profit]]/Table1[[#This Row],[Total Cost]]</f>
        <v>0.18867924528301888</v>
      </c>
    </row>
    <row r="94" spans="1:17" x14ac:dyDescent="0.25">
      <c r="A94" t="s">
        <v>349</v>
      </c>
      <c r="B94" s="1" t="s">
        <v>33</v>
      </c>
      <c r="C94" s="1" t="s">
        <v>34</v>
      </c>
      <c r="D94" s="1" t="s">
        <v>350</v>
      </c>
      <c r="E94" s="2">
        <v>52</v>
      </c>
      <c r="F94" s="2" t="str">
        <f>IF(Table1[[#This Row],[Age]]&lt;=20,"Teenager",IF(Table1[[#This Row],[Age]]&lt;=50,"Adult","Senior"))</f>
        <v>Senior</v>
      </c>
      <c r="G94" s="1" t="s">
        <v>28</v>
      </c>
      <c r="H94" s="1" t="s">
        <v>36</v>
      </c>
      <c r="I94" s="2">
        <v>209</v>
      </c>
      <c r="J94" s="2">
        <v>259</v>
      </c>
      <c r="K94" s="2">
        <v>50</v>
      </c>
      <c r="L94" s="1" t="s">
        <v>351</v>
      </c>
      <c r="M94" s="1" t="s">
        <v>44</v>
      </c>
      <c r="N94" s="1" t="s">
        <v>45</v>
      </c>
      <c r="O94" s="1" t="s">
        <v>23</v>
      </c>
      <c r="P94" s="13">
        <f t="shared" ca="1" si="1"/>
        <v>44964</v>
      </c>
      <c r="Q94" s="11">
        <f>Table1[[#This Row],[Profit]]/Table1[[#This Row],[Total Cost]]</f>
        <v>0.19305019305019305</v>
      </c>
    </row>
    <row r="95" spans="1:17" x14ac:dyDescent="0.25">
      <c r="A95" t="s">
        <v>352</v>
      </c>
      <c r="B95" s="1" t="s">
        <v>39</v>
      </c>
      <c r="C95" s="1" t="s">
        <v>40</v>
      </c>
      <c r="D95" s="1" t="s">
        <v>353</v>
      </c>
      <c r="E95" s="2">
        <v>22</v>
      </c>
      <c r="F95" s="2" t="str">
        <f>IF(Table1[[#This Row],[Age]]&lt;=20,"Teenager",IF(Table1[[#This Row],[Age]]&lt;=50,"Adult","Senior"))</f>
        <v>Adult</v>
      </c>
      <c r="G95" s="1" t="s">
        <v>18</v>
      </c>
      <c r="H95" s="1" t="s">
        <v>42</v>
      </c>
      <c r="I95" s="2">
        <v>84</v>
      </c>
      <c r="J95" s="2">
        <v>107</v>
      </c>
      <c r="K95" s="2">
        <v>23</v>
      </c>
      <c r="L95" s="1" t="s">
        <v>354</v>
      </c>
      <c r="M95" s="1" t="s">
        <v>58</v>
      </c>
      <c r="N95" s="1" t="s">
        <v>59</v>
      </c>
      <c r="O95" s="1" t="s">
        <v>23</v>
      </c>
      <c r="P95" s="13">
        <f t="shared" ca="1" si="1"/>
        <v>45148</v>
      </c>
      <c r="Q95" s="11">
        <f>Table1[[#This Row],[Profit]]/Table1[[#This Row],[Total Cost]]</f>
        <v>0.21495327102803738</v>
      </c>
    </row>
    <row r="96" spans="1:17" x14ac:dyDescent="0.25">
      <c r="A96" t="s">
        <v>355</v>
      </c>
      <c r="B96" s="1" t="s">
        <v>47</v>
      </c>
      <c r="C96" s="1" t="s">
        <v>48</v>
      </c>
      <c r="D96" s="1" t="s">
        <v>356</v>
      </c>
      <c r="E96" s="2">
        <v>36</v>
      </c>
      <c r="F96" s="2" t="str">
        <f>IF(Table1[[#This Row],[Age]]&lt;=20,"Teenager",IF(Table1[[#This Row],[Age]]&lt;=50,"Adult","Senior"))</f>
        <v>Adult</v>
      </c>
      <c r="G96" s="1" t="s">
        <v>28</v>
      </c>
      <c r="H96" s="1" t="s">
        <v>50</v>
      </c>
      <c r="I96" s="2">
        <v>94</v>
      </c>
      <c r="J96" s="2">
        <v>117</v>
      </c>
      <c r="K96" s="2">
        <v>23</v>
      </c>
      <c r="L96" s="1" t="s">
        <v>357</v>
      </c>
      <c r="M96" s="1" t="s">
        <v>52</v>
      </c>
      <c r="N96" s="1" t="s">
        <v>52</v>
      </c>
      <c r="O96" s="1" t="s">
        <v>23</v>
      </c>
      <c r="P96" s="13">
        <f t="shared" ca="1" si="1"/>
        <v>45255</v>
      </c>
      <c r="Q96" s="11">
        <f>Table1[[#This Row],[Profit]]/Table1[[#This Row],[Total Cost]]</f>
        <v>0.19658119658119658</v>
      </c>
    </row>
    <row r="97" spans="1:17" x14ac:dyDescent="0.25">
      <c r="A97" t="s">
        <v>358</v>
      </c>
      <c r="B97" s="1" t="s">
        <v>54</v>
      </c>
      <c r="C97" s="1" t="s">
        <v>55</v>
      </c>
      <c r="D97" s="1" t="s">
        <v>359</v>
      </c>
      <c r="E97" s="2">
        <v>48</v>
      </c>
      <c r="F97" s="2" t="str">
        <f>IF(Table1[[#This Row],[Age]]&lt;=20,"Teenager",IF(Table1[[#This Row],[Age]]&lt;=50,"Adult","Senior"))</f>
        <v>Adult</v>
      </c>
      <c r="G97" s="1" t="s">
        <v>18</v>
      </c>
      <c r="H97" s="1" t="s">
        <v>56</v>
      </c>
      <c r="I97" s="2">
        <v>154</v>
      </c>
      <c r="J97" s="2">
        <v>187</v>
      </c>
      <c r="K97" s="2">
        <v>33</v>
      </c>
      <c r="L97" s="1" t="s">
        <v>360</v>
      </c>
      <c r="M97" s="1" t="s">
        <v>58</v>
      </c>
      <c r="N97" s="1" t="s">
        <v>59</v>
      </c>
      <c r="O97" s="1" t="s">
        <v>23</v>
      </c>
      <c r="P97" s="13">
        <f t="shared" ca="1" si="1"/>
        <v>45086</v>
      </c>
      <c r="Q97" s="11">
        <f>Table1[[#This Row],[Profit]]/Table1[[#This Row],[Total Cost]]</f>
        <v>0.17647058823529413</v>
      </c>
    </row>
    <row r="98" spans="1:17" x14ac:dyDescent="0.25">
      <c r="A98" t="s">
        <v>361</v>
      </c>
      <c r="B98" s="1" t="s">
        <v>61</v>
      </c>
      <c r="C98" s="1" t="s">
        <v>62</v>
      </c>
      <c r="D98" s="1" t="s">
        <v>362</v>
      </c>
      <c r="E98" s="2">
        <v>60</v>
      </c>
      <c r="F98" s="2" t="str">
        <f>IF(Table1[[#This Row],[Age]]&lt;=20,"Teenager",IF(Table1[[#This Row],[Age]]&lt;=50,"Adult","Senior"))</f>
        <v>Senior</v>
      </c>
      <c r="G98" s="1" t="s">
        <v>28</v>
      </c>
      <c r="H98" s="1" t="s">
        <v>64</v>
      </c>
      <c r="I98" s="2">
        <v>258</v>
      </c>
      <c r="J98" s="2">
        <v>308</v>
      </c>
      <c r="K98" s="2">
        <v>50</v>
      </c>
      <c r="L98" s="1" t="s">
        <v>363</v>
      </c>
      <c r="M98" s="1" t="s">
        <v>66</v>
      </c>
      <c r="N98" s="1" t="s">
        <v>67</v>
      </c>
      <c r="O98" s="1" t="s">
        <v>23</v>
      </c>
      <c r="P98" s="13">
        <f t="shared" ca="1" si="1"/>
        <v>45222</v>
      </c>
      <c r="Q98" s="11">
        <f>Table1[[#This Row],[Profit]]/Table1[[#This Row],[Total Cost]]</f>
        <v>0.16233766233766234</v>
      </c>
    </row>
    <row r="99" spans="1:17" x14ac:dyDescent="0.25">
      <c r="A99" t="s">
        <v>364</v>
      </c>
      <c r="B99" s="1" t="s">
        <v>69</v>
      </c>
      <c r="C99" s="1" t="s">
        <v>70</v>
      </c>
      <c r="D99" s="1" t="s">
        <v>365</v>
      </c>
      <c r="E99" s="2">
        <v>26</v>
      </c>
      <c r="F99" s="2" t="str">
        <f>IF(Table1[[#This Row],[Age]]&lt;=20,"Teenager",IF(Table1[[#This Row],[Age]]&lt;=50,"Adult","Senior"))</f>
        <v>Adult</v>
      </c>
      <c r="G99" s="1" t="s">
        <v>18</v>
      </c>
      <c r="H99" s="1" t="s">
        <v>29</v>
      </c>
      <c r="I99" s="2">
        <v>187</v>
      </c>
      <c r="J99" s="2">
        <v>227</v>
      </c>
      <c r="K99" s="2">
        <v>40</v>
      </c>
      <c r="L99" s="1" t="s">
        <v>366</v>
      </c>
      <c r="M99" s="1" t="s">
        <v>73</v>
      </c>
      <c r="N99" s="1" t="s">
        <v>74</v>
      </c>
      <c r="O99" s="1" t="s">
        <v>23</v>
      </c>
      <c r="P99" s="13">
        <f t="shared" ca="1" si="1"/>
        <v>44987</v>
      </c>
      <c r="Q99" s="11">
        <f>Table1[[#This Row],[Profit]]/Table1[[#This Row],[Total Cost]]</f>
        <v>0.1762114537444934</v>
      </c>
    </row>
    <row r="100" spans="1:17" x14ac:dyDescent="0.25">
      <c r="A100" t="s">
        <v>164</v>
      </c>
      <c r="B100" s="1" t="s">
        <v>76</v>
      </c>
      <c r="C100" s="1" t="s">
        <v>34</v>
      </c>
      <c r="D100" s="1" t="s">
        <v>367</v>
      </c>
      <c r="E100" s="2">
        <v>58</v>
      </c>
      <c r="F100" s="2" t="str">
        <f>IF(Table1[[#This Row],[Age]]&lt;=20,"Teenager",IF(Table1[[#This Row],[Age]]&lt;=50,"Adult","Senior"))</f>
        <v>Senior</v>
      </c>
      <c r="G100" s="1" t="s">
        <v>28</v>
      </c>
      <c r="H100" s="1" t="s">
        <v>36</v>
      </c>
      <c r="I100" s="2">
        <v>412</v>
      </c>
      <c r="J100" s="2">
        <v>492</v>
      </c>
      <c r="K100" s="2">
        <v>80</v>
      </c>
      <c r="L100" s="1" t="s">
        <v>368</v>
      </c>
      <c r="M100" s="1" t="s">
        <v>79</v>
      </c>
      <c r="N100" s="1" t="s">
        <v>80</v>
      </c>
      <c r="O100" s="1" t="s">
        <v>23</v>
      </c>
      <c r="P100" s="13">
        <f t="shared" ca="1" si="1"/>
        <v>44995</v>
      </c>
      <c r="Q100" s="11">
        <f>Table1[[#This Row],[Profit]]/Table1[[#This Row],[Total Cost]]</f>
        <v>0.16260162601626016</v>
      </c>
    </row>
    <row r="101" spans="1:17" x14ac:dyDescent="0.25">
      <c r="A101" t="s">
        <v>165</v>
      </c>
      <c r="B101" s="1" t="s">
        <v>112</v>
      </c>
      <c r="C101" s="1" t="s">
        <v>62</v>
      </c>
      <c r="D101" s="1" t="s">
        <v>166</v>
      </c>
      <c r="E101" s="2">
        <v>44</v>
      </c>
      <c r="F101" s="2" t="str">
        <f>IF(Table1[[#This Row],[Age]]&lt;=20,"Teenager",IF(Table1[[#This Row],[Age]]&lt;=50,"Adult","Senior"))</f>
        <v>Adult</v>
      </c>
      <c r="G101" s="1" t="s">
        <v>28</v>
      </c>
      <c r="H101" s="1" t="s">
        <v>114</v>
      </c>
      <c r="I101" s="2">
        <v>360</v>
      </c>
      <c r="J101" s="2">
        <v>430</v>
      </c>
      <c r="K101" s="2">
        <v>70</v>
      </c>
      <c r="L101" s="1" t="s">
        <v>167</v>
      </c>
      <c r="M101" s="1" t="s">
        <v>58</v>
      </c>
      <c r="N101" s="1" t="s">
        <v>59</v>
      </c>
      <c r="O101" s="1" t="s">
        <v>23</v>
      </c>
      <c r="P101" s="13">
        <f t="shared" ca="1" si="1"/>
        <v>45174</v>
      </c>
      <c r="Q101" s="11">
        <f>Table1[[#This Row],[Profit]]/Table1[[#This Row],[Total Cost]]</f>
        <v>0.16279069767441862</v>
      </c>
    </row>
  </sheetData>
  <phoneticPr fontId="19"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D1750-023E-4EF6-94B1-1756910ED687}">
  <dimension ref="A3:G36"/>
  <sheetViews>
    <sheetView workbookViewId="0">
      <selection activeCell="D21" sqref="D21"/>
    </sheetView>
  </sheetViews>
  <sheetFormatPr defaultRowHeight="15" x14ac:dyDescent="0.25"/>
  <cols>
    <col min="1" max="1" width="13.42578125" bestFit="1" customWidth="1"/>
    <col min="2" max="2" width="16.7109375" bestFit="1" customWidth="1"/>
    <col min="3" max="3" width="13.140625" bestFit="1" customWidth="1"/>
    <col min="4" max="6" width="16.7109375" customWidth="1"/>
    <col min="7" max="7" width="15.5703125" customWidth="1"/>
    <col min="8" max="8" width="10" customWidth="1"/>
    <col min="9" max="9" width="12.42578125" customWidth="1"/>
    <col min="10" max="10" width="12" bestFit="1" customWidth="1"/>
    <col min="11" max="11" width="7.140625" bestFit="1" customWidth="1"/>
    <col min="12" max="12" width="9.85546875" bestFit="1" customWidth="1"/>
    <col min="13" max="13" width="11" bestFit="1" customWidth="1"/>
    <col min="14" max="14" width="10" bestFit="1" customWidth="1"/>
    <col min="15" max="15" width="13.28515625" bestFit="1" customWidth="1"/>
    <col min="16" max="16" width="12.140625" bestFit="1" customWidth="1"/>
    <col min="17" max="17" width="11.28515625" bestFit="1" customWidth="1"/>
  </cols>
  <sheetData>
    <row r="3" spans="1:6" x14ac:dyDescent="0.25">
      <c r="A3" s="3" t="s">
        <v>370</v>
      </c>
      <c r="B3" t="s">
        <v>374</v>
      </c>
    </row>
    <row r="4" spans="1:6" x14ac:dyDescent="0.25">
      <c r="A4" s="4" t="s">
        <v>136</v>
      </c>
      <c r="B4" s="2">
        <v>105</v>
      </c>
      <c r="D4">
        <v>105</v>
      </c>
      <c r="E4" s="10">
        <f>D4/4222*100</f>
        <v>2.4869729985788727</v>
      </c>
      <c r="F4" s="4"/>
    </row>
    <row r="5" spans="1:6" x14ac:dyDescent="0.25">
      <c r="A5" s="4" t="s">
        <v>52</v>
      </c>
      <c r="B5" s="2">
        <v>164</v>
      </c>
      <c r="D5">
        <v>164</v>
      </c>
      <c r="E5" s="10">
        <f t="shared" ref="E5:E15" si="0">D5/4222*100</f>
        <v>3.8844149692089056</v>
      </c>
      <c r="F5" s="4"/>
    </row>
    <row r="6" spans="1:6" x14ac:dyDescent="0.25">
      <c r="A6" s="4" t="s">
        <v>99</v>
      </c>
      <c r="B6" s="2">
        <v>480</v>
      </c>
      <c r="D6">
        <v>480</v>
      </c>
      <c r="E6" s="10">
        <f t="shared" si="0"/>
        <v>11.369019422074846</v>
      </c>
      <c r="F6" s="4"/>
    </row>
    <row r="7" spans="1:6" x14ac:dyDescent="0.25">
      <c r="A7" s="4" t="s">
        <v>45</v>
      </c>
      <c r="B7" s="2">
        <v>650</v>
      </c>
      <c r="D7">
        <v>650</v>
      </c>
      <c r="E7" s="10">
        <f t="shared" si="0"/>
        <v>15.395547134059687</v>
      </c>
      <c r="F7" s="4"/>
    </row>
    <row r="8" spans="1:6" x14ac:dyDescent="0.25">
      <c r="A8" s="4" t="s">
        <v>67</v>
      </c>
      <c r="B8" s="2">
        <v>200</v>
      </c>
      <c r="D8">
        <v>200</v>
      </c>
      <c r="E8" s="10">
        <f t="shared" si="0"/>
        <v>4.7370914258645191</v>
      </c>
      <c r="F8" s="4"/>
    </row>
    <row r="9" spans="1:6" x14ac:dyDescent="0.25">
      <c r="A9" s="4" t="s">
        <v>22</v>
      </c>
      <c r="B9" s="2">
        <v>720</v>
      </c>
      <c r="D9">
        <v>720</v>
      </c>
      <c r="E9" s="10">
        <f t="shared" si="0"/>
        <v>17.053529133112271</v>
      </c>
      <c r="F9" s="4"/>
    </row>
    <row r="10" spans="1:6" x14ac:dyDescent="0.25">
      <c r="A10" s="4" t="s">
        <v>74</v>
      </c>
      <c r="B10" s="2">
        <v>160</v>
      </c>
      <c r="D10">
        <v>160</v>
      </c>
      <c r="E10" s="10">
        <f t="shared" si="0"/>
        <v>3.7896731406916158</v>
      </c>
      <c r="F10" s="4"/>
    </row>
    <row r="11" spans="1:6" x14ac:dyDescent="0.25">
      <c r="A11" s="4" t="s">
        <v>86</v>
      </c>
      <c r="B11" s="2">
        <v>120</v>
      </c>
      <c r="D11">
        <v>120</v>
      </c>
      <c r="E11" s="10">
        <f t="shared" si="0"/>
        <v>2.8422548555187115</v>
      </c>
      <c r="F11" s="6"/>
    </row>
    <row r="12" spans="1:6" x14ac:dyDescent="0.25">
      <c r="A12" s="4" t="s">
        <v>106</v>
      </c>
      <c r="B12" s="2">
        <v>510</v>
      </c>
      <c r="D12">
        <v>510</v>
      </c>
      <c r="E12" s="10">
        <f t="shared" si="0"/>
        <v>12.079583135954524</v>
      </c>
      <c r="F12" s="6"/>
    </row>
    <row r="13" spans="1:6" x14ac:dyDescent="0.25">
      <c r="A13" s="4" t="s">
        <v>80</v>
      </c>
      <c r="B13" s="2">
        <v>560</v>
      </c>
      <c r="D13">
        <v>560</v>
      </c>
      <c r="E13" s="10">
        <f t="shared" si="0"/>
        <v>13.263855992420654</v>
      </c>
      <c r="F13" s="6"/>
    </row>
    <row r="14" spans="1:6" x14ac:dyDescent="0.25">
      <c r="A14" s="4" t="s">
        <v>92</v>
      </c>
      <c r="B14" s="2">
        <v>210</v>
      </c>
      <c r="D14">
        <v>210</v>
      </c>
      <c r="E14" s="10">
        <f t="shared" si="0"/>
        <v>4.9739459971577453</v>
      </c>
      <c r="F14" s="6"/>
    </row>
    <row r="15" spans="1:6" x14ac:dyDescent="0.25">
      <c r="A15" s="4" t="s">
        <v>59</v>
      </c>
      <c r="B15" s="2">
        <v>343</v>
      </c>
      <c r="D15">
        <v>343</v>
      </c>
      <c r="E15" s="10">
        <f t="shared" si="0"/>
        <v>8.1241117953576492</v>
      </c>
      <c r="F15" s="6"/>
    </row>
    <row r="16" spans="1:6" x14ac:dyDescent="0.25">
      <c r="A16" s="4" t="s">
        <v>371</v>
      </c>
      <c r="B16" s="2">
        <v>4222</v>
      </c>
      <c r="D16" s="7"/>
      <c r="E16" s="5"/>
      <c r="F16" s="6"/>
    </row>
    <row r="17" spans="1:7" x14ac:dyDescent="0.25">
      <c r="D17" s="9">
        <v>4222</v>
      </c>
      <c r="E17" s="6">
        <f>SUM(E4:E15)</f>
        <v>100</v>
      </c>
      <c r="F17" s="6"/>
      <c r="G17" s="8"/>
    </row>
    <row r="18" spans="1:7" x14ac:dyDescent="0.25">
      <c r="E18" s="5"/>
      <c r="F18" s="6"/>
    </row>
    <row r="19" spans="1:7" x14ac:dyDescent="0.25">
      <c r="A19" s="3" t="s">
        <v>370</v>
      </c>
      <c r="B19" t="s">
        <v>377</v>
      </c>
      <c r="D19" t="s">
        <v>375</v>
      </c>
      <c r="E19" t="s">
        <v>373</v>
      </c>
      <c r="F19" t="s">
        <v>376</v>
      </c>
      <c r="G19" s="8"/>
    </row>
    <row r="20" spans="1:7" x14ac:dyDescent="0.25">
      <c r="A20" s="4" t="s">
        <v>136</v>
      </c>
      <c r="B20" s="14">
        <v>3</v>
      </c>
      <c r="D20" s="4" t="s">
        <v>22</v>
      </c>
      <c r="E20" t="s">
        <v>23</v>
      </c>
      <c r="F20" s="11">
        <v>0.17050000000000001</v>
      </c>
    </row>
    <row r="21" spans="1:7" x14ac:dyDescent="0.25">
      <c r="A21" s="4" t="s">
        <v>52</v>
      </c>
      <c r="B21" s="14">
        <v>7</v>
      </c>
      <c r="D21" s="4" t="s">
        <v>45</v>
      </c>
      <c r="E21" t="s">
        <v>23</v>
      </c>
      <c r="F21" s="11">
        <v>0.154</v>
      </c>
      <c r="G21" s="8"/>
    </row>
    <row r="22" spans="1:7" x14ac:dyDescent="0.25">
      <c r="A22" s="4" t="s">
        <v>99</v>
      </c>
      <c r="B22" s="14">
        <v>12</v>
      </c>
      <c r="D22" s="4" t="s">
        <v>80</v>
      </c>
      <c r="E22" t="s">
        <v>23</v>
      </c>
      <c r="F22" s="11">
        <v>0.1326</v>
      </c>
    </row>
    <row r="23" spans="1:7" x14ac:dyDescent="0.25">
      <c r="A23" s="4" t="s">
        <v>45</v>
      </c>
      <c r="B23" s="14">
        <v>13</v>
      </c>
      <c r="D23" s="4" t="s">
        <v>106</v>
      </c>
      <c r="E23" t="s">
        <v>23</v>
      </c>
      <c r="F23" s="11">
        <v>0.1208</v>
      </c>
    </row>
    <row r="24" spans="1:7" x14ac:dyDescent="0.25">
      <c r="A24" s="4" t="s">
        <v>67</v>
      </c>
      <c r="B24" s="14">
        <v>4</v>
      </c>
      <c r="D24" s="4" t="s">
        <v>99</v>
      </c>
      <c r="E24" t="s">
        <v>23</v>
      </c>
      <c r="F24" s="11">
        <v>0.1137</v>
      </c>
    </row>
    <row r="25" spans="1:7" x14ac:dyDescent="0.25">
      <c r="A25" s="4" t="s">
        <v>22</v>
      </c>
      <c r="B25" s="14">
        <v>21</v>
      </c>
      <c r="D25" s="4" t="s">
        <v>59</v>
      </c>
      <c r="E25" t="s">
        <v>23</v>
      </c>
      <c r="F25" s="11">
        <v>8.1199999999999994E-2</v>
      </c>
      <c r="G25" s="8"/>
    </row>
    <row r="26" spans="1:7" x14ac:dyDescent="0.25">
      <c r="A26" s="4" t="s">
        <v>74</v>
      </c>
      <c r="B26" s="14">
        <v>4</v>
      </c>
      <c r="D26" s="4" t="s">
        <v>67</v>
      </c>
      <c r="E26" t="s">
        <v>23</v>
      </c>
      <c r="F26" s="11">
        <v>7.7399999999999997E-2</v>
      </c>
    </row>
    <row r="27" spans="1:7" x14ac:dyDescent="0.25">
      <c r="A27" s="4" t="s">
        <v>86</v>
      </c>
      <c r="B27" s="14">
        <v>3</v>
      </c>
      <c r="D27" s="4" t="s">
        <v>92</v>
      </c>
      <c r="E27" t="s">
        <v>23</v>
      </c>
      <c r="F27" s="11">
        <v>4.9700000000000001E-2</v>
      </c>
      <c r="G27" s="8"/>
    </row>
    <row r="28" spans="1:7" x14ac:dyDescent="0.25">
      <c r="A28" s="4" t="s">
        <v>106</v>
      </c>
      <c r="B28" s="14">
        <v>9</v>
      </c>
      <c r="D28" s="4" t="s">
        <v>52</v>
      </c>
      <c r="E28" t="s">
        <v>23</v>
      </c>
      <c r="F28" s="11">
        <v>3.8800000000000001E-2</v>
      </c>
    </row>
    <row r="29" spans="1:7" x14ac:dyDescent="0.25">
      <c r="A29" s="4" t="s">
        <v>80</v>
      </c>
      <c r="B29" s="14">
        <v>7</v>
      </c>
      <c r="D29" s="4" t="s">
        <v>74</v>
      </c>
      <c r="E29" t="s">
        <v>23</v>
      </c>
      <c r="F29" s="11">
        <v>3.7900000000000003E-2</v>
      </c>
      <c r="G29" s="8"/>
    </row>
    <row r="30" spans="1:7" x14ac:dyDescent="0.25">
      <c r="A30" s="4" t="s">
        <v>92</v>
      </c>
      <c r="B30" s="14">
        <v>6</v>
      </c>
      <c r="D30" s="4" t="s">
        <v>86</v>
      </c>
      <c r="E30" t="s">
        <v>23</v>
      </c>
      <c r="F30" s="11">
        <v>2.8400000000000002E-2</v>
      </c>
    </row>
    <row r="31" spans="1:7" x14ac:dyDescent="0.25">
      <c r="A31" s="4" t="s">
        <v>59</v>
      </c>
      <c r="B31" s="14">
        <v>11</v>
      </c>
      <c r="D31" s="4" t="s">
        <v>136</v>
      </c>
      <c r="E31" t="s">
        <v>23</v>
      </c>
      <c r="F31" s="11">
        <v>2.4899999999999999E-2</v>
      </c>
      <c r="G31" s="8"/>
    </row>
    <row r="32" spans="1:7" x14ac:dyDescent="0.25">
      <c r="A32" s="4" t="s">
        <v>371</v>
      </c>
      <c r="B32" s="14">
        <v>100</v>
      </c>
      <c r="E32" s="5"/>
      <c r="F32" s="6"/>
    </row>
    <row r="33" spans="5:7" x14ac:dyDescent="0.25">
      <c r="E33" s="6"/>
      <c r="F33" s="6"/>
      <c r="G33" s="8"/>
    </row>
    <row r="34" spans="5:7" x14ac:dyDescent="0.25">
      <c r="E34" s="5"/>
      <c r="F34" s="6"/>
    </row>
    <row r="35" spans="5:7" x14ac:dyDescent="0.25">
      <c r="E35" s="6"/>
      <c r="F35" s="6"/>
      <c r="G35" s="8"/>
    </row>
    <row r="36" spans="5:7" x14ac:dyDescent="0.25">
      <c r="E36" s="5"/>
      <c r="F36" s="6"/>
    </row>
  </sheetData>
  <pageMargins left="0.7" right="0.7" top="0.75" bottom="0.75" header="0.3" footer="0.3"/>
  <drawing r:id="rId3"/>
  <tableParts count="1">
    <tablePart r:id="rId4"/>
  </tableParts>
  <extLs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BA3F0-2AC4-49F3-A16E-CFA97ED6ABDF}">
  <dimension ref="A3:B14"/>
  <sheetViews>
    <sheetView workbookViewId="0">
      <selection activeCell="N8" sqref="N8"/>
    </sheetView>
  </sheetViews>
  <sheetFormatPr defaultRowHeight="15" x14ac:dyDescent="0.25"/>
  <cols>
    <col min="1" max="1" width="13.42578125" bestFit="1" customWidth="1"/>
    <col min="2" max="2" width="21.85546875" bestFit="1" customWidth="1"/>
    <col min="3" max="3" width="5.85546875" bestFit="1" customWidth="1"/>
    <col min="4" max="4" width="7.5703125" bestFit="1" customWidth="1"/>
    <col min="5" max="5" width="9.7109375" bestFit="1" customWidth="1"/>
    <col min="6" max="6" width="6.5703125" bestFit="1" customWidth="1"/>
    <col min="7" max="7" width="12" bestFit="1" customWidth="1"/>
    <col min="8" max="8" width="7.140625" bestFit="1" customWidth="1"/>
    <col min="9" max="9" width="9.85546875" bestFit="1" customWidth="1"/>
    <col min="10" max="10" width="11" bestFit="1" customWidth="1"/>
    <col min="11" max="11" width="10" bestFit="1" customWidth="1"/>
    <col min="12" max="12" width="13.28515625" bestFit="1" customWidth="1"/>
    <col min="13" max="13" width="12.140625" bestFit="1" customWidth="1"/>
    <col min="14" max="14" width="11.28515625" bestFit="1" customWidth="1"/>
    <col min="15" max="15" width="5.5703125" bestFit="1" customWidth="1"/>
    <col min="16" max="16" width="11.28515625" bestFit="1" customWidth="1"/>
    <col min="17" max="17" width="10" bestFit="1" customWidth="1"/>
    <col min="18" max="18" width="11.28515625" bestFit="1" customWidth="1"/>
    <col min="19" max="19" width="8.5703125" bestFit="1" customWidth="1"/>
    <col min="20" max="20" width="5.85546875" bestFit="1" customWidth="1"/>
    <col min="21" max="21" width="10.7109375" bestFit="1" customWidth="1"/>
    <col min="22" max="22" width="6.28515625" bestFit="1" customWidth="1"/>
    <col min="23" max="23" width="6" bestFit="1" customWidth="1"/>
    <col min="24" max="24" width="7.5703125" bestFit="1" customWidth="1"/>
    <col min="25" max="25" width="8.85546875" bestFit="1" customWidth="1"/>
    <col min="26" max="26" width="8.140625" bestFit="1" customWidth="1"/>
    <col min="27" max="27" width="12.5703125" bestFit="1" customWidth="1"/>
    <col min="28" max="28" width="6" bestFit="1" customWidth="1"/>
    <col min="29" max="29" width="5.5703125" bestFit="1" customWidth="1"/>
    <col min="30" max="30" width="26.85546875" bestFit="1" customWidth="1"/>
    <col min="31" max="31" width="17.85546875" bestFit="1" customWidth="1"/>
  </cols>
  <sheetData>
    <row r="3" spans="1:2" x14ac:dyDescent="0.25">
      <c r="A3" s="3" t="s">
        <v>370</v>
      </c>
      <c r="B3" t="s">
        <v>372</v>
      </c>
    </row>
    <row r="4" spans="1:2" x14ac:dyDescent="0.25">
      <c r="A4" s="4" t="s">
        <v>29</v>
      </c>
      <c r="B4" s="14">
        <v>20</v>
      </c>
    </row>
    <row r="5" spans="1:2" x14ac:dyDescent="0.25">
      <c r="A5" s="4" t="s">
        <v>36</v>
      </c>
      <c r="B5" s="14">
        <v>14</v>
      </c>
    </row>
    <row r="6" spans="1:2" x14ac:dyDescent="0.25">
      <c r="A6" s="4" t="s">
        <v>42</v>
      </c>
      <c r="B6" s="14">
        <v>13</v>
      </c>
    </row>
    <row r="7" spans="1:2" x14ac:dyDescent="0.25">
      <c r="A7" s="4" t="s">
        <v>56</v>
      </c>
      <c r="B7" s="14">
        <v>13</v>
      </c>
    </row>
    <row r="8" spans="1:2" x14ac:dyDescent="0.25">
      <c r="A8" s="4" t="s">
        <v>114</v>
      </c>
      <c r="B8" s="14">
        <v>7</v>
      </c>
    </row>
    <row r="9" spans="1:2" x14ac:dyDescent="0.25">
      <c r="A9" s="4" t="s">
        <v>64</v>
      </c>
      <c r="B9" s="14">
        <v>7</v>
      </c>
    </row>
    <row r="10" spans="1:2" x14ac:dyDescent="0.25">
      <c r="A10" s="4" t="s">
        <v>50</v>
      </c>
      <c r="B10" s="14">
        <v>7</v>
      </c>
    </row>
    <row r="11" spans="1:2" x14ac:dyDescent="0.25">
      <c r="A11" s="4" t="s">
        <v>19</v>
      </c>
      <c r="B11" s="14">
        <v>7</v>
      </c>
    </row>
    <row r="12" spans="1:2" x14ac:dyDescent="0.25">
      <c r="A12" s="4" t="s">
        <v>103</v>
      </c>
      <c r="B12" s="14">
        <v>6</v>
      </c>
    </row>
    <row r="13" spans="1:2" x14ac:dyDescent="0.25">
      <c r="A13" s="4" t="s">
        <v>96</v>
      </c>
      <c r="B13" s="14">
        <v>6</v>
      </c>
    </row>
    <row r="14" spans="1:2" x14ac:dyDescent="0.25">
      <c r="A14" s="4" t="s">
        <v>371</v>
      </c>
      <c r="B14" s="14">
        <v>100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AE0A9-C013-4913-80F8-A68811258CD4}">
  <dimension ref="A3:C7"/>
  <sheetViews>
    <sheetView workbookViewId="0">
      <selection activeCell="R4" sqref="R4"/>
    </sheetView>
  </sheetViews>
  <sheetFormatPr defaultRowHeight="15" x14ac:dyDescent="0.25"/>
  <cols>
    <col min="1" max="1" width="13.42578125" bestFit="1" customWidth="1"/>
    <col min="2" max="3" width="3" bestFit="1" customWidth="1"/>
    <col min="4" max="4" width="7.85546875" bestFit="1" customWidth="1"/>
    <col min="5" max="5" width="6.85546875" bestFit="1" customWidth="1"/>
    <col min="6" max="6" width="5.7109375" bestFit="1" customWidth="1"/>
    <col min="7" max="7" width="4.140625" bestFit="1" customWidth="1"/>
    <col min="8" max="8" width="7.85546875" bestFit="1" customWidth="1"/>
    <col min="9" max="9" width="7.42578125" bestFit="1" customWidth="1"/>
    <col min="10" max="10" width="12.7109375" bestFit="1" customWidth="1"/>
    <col min="11" max="11" width="7.42578125" bestFit="1" customWidth="1"/>
  </cols>
  <sheetData>
    <row r="3" spans="1:3" x14ac:dyDescent="0.25">
      <c r="A3" s="3" t="s">
        <v>397</v>
      </c>
      <c r="B3" s="3" t="s">
        <v>396</v>
      </c>
    </row>
    <row r="4" spans="1:3" x14ac:dyDescent="0.25">
      <c r="A4" s="3" t="s">
        <v>370</v>
      </c>
      <c r="B4" t="s">
        <v>28</v>
      </c>
      <c r="C4" t="s">
        <v>18</v>
      </c>
    </row>
    <row r="5" spans="1:3" x14ac:dyDescent="0.25">
      <c r="A5" s="4" t="s">
        <v>395</v>
      </c>
      <c r="B5" s="14">
        <v>38</v>
      </c>
      <c r="C5" s="14">
        <v>38</v>
      </c>
    </row>
    <row r="6" spans="1:3" x14ac:dyDescent="0.25">
      <c r="A6" s="4" t="s">
        <v>399</v>
      </c>
      <c r="B6" s="14">
        <v>12</v>
      </c>
      <c r="C6" s="14">
        <v>10</v>
      </c>
    </row>
    <row r="7" spans="1:3" x14ac:dyDescent="0.25">
      <c r="A7" s="4" t="s">
        <v>398</v>
      </c>
      <c r="B7" s="14">
        <v>1</v>
      </c>
      <c r="C7" s="14">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89A66-F2F3-421D-BF1D-7BEDA1EAED20}">
  <dimension ref="A3:I16"/>
  <sheetViews>
    <sheetView workbookViewId="0">
      <selection activeCell="H22" sqref="H22"/>
    </sheetView>
  </sheetViews>
  <sheetFormatPr defaultRowHeight="15" x14ac:dyDescent="0.25"/>
  <cols>
    <col min="1" max="1" width="13.42578125" bestFit="1" customWidth="1"/>
    <col min="2" max="2" width="17" bestFit="1" customWidth="1"/>
    <col min="3" max="3" width="12.7109375" bestFit="1" customWidth="1"/>
    <col min="6" max="6" width="9" customWidth="1"/>
    <col min="7" max="7" width="15.85546875" customWidth="1"/>
    <col min="8" max="8" width="17" customWidth="1"/>
    <col min="9" max="9" width="12" bestFit="1" customWidth="1"/>
  </cols>
  <sheetData>
    <row r="3" spans="1:9" x14ac:dyDescent="0.25">
      <c r="A3" s="3" t="s">
        <v>370</v>
      </c>
      <c r="B3" t="s">
        <v>382</v>
      </c>
      <c r="C3" t="s">
        <v>374</v>
      </c>
    </row>
    <row r="4" spans="1:9" x14ac:dyDescent="0.25">
      <c r="A4" s="4" t="s">
        <v>383</v>
      </c>
      <c r="B4" s="2">
        <v>2145</v>
      </c>
      <c r="C4" s="2">
        <v>365</v>
      </c>
      <c r="F4" s="4"/>
      <c r="G4" s="2"/>
      <c r="H4" s="2"/>
      <c r="I4" s="12"/>
    </row>
    <row r="5" spans="1:9" x14ac:dyDescent="0.25">
      <c r="A5" s="4" t="s">
        <v>384</v>
      </c>
      <c r="B5" s="2">
        <v>2018</v>
      </c>
      <c r="C5" s="2">
        <v>388</v>
      </c>
      <c r="F5" s="4"/>
      <c r="G5" s="2"/>
      <c r="H5" s="2"/>
      <c r="I5" s="12"/>
    </row>
    <row r="6" spans="1:9" x14ac:dyDescent="0.25">
      <c r="A6" s="4" t="s">
        <v>385</v>
      </c>
      <c r="B6" s="2">
        <v>3282</v>
      </c>
      <c r="C6" s="2">
        <v>591</v>
      </c>
      <c r="F6" s="4"/>
      <c r="G6" s="2"/>
      <c r="H6" s="2"/>
      <c r="I6" s="12"/>
    </row>
    <row r="7" spans="1:9" x14ac:dyDescent="0.25">
      <c r="A7" s="4" t="s">
        <v>386</v>
      </c>
      <c r="B7" s="2">
        <v>1309</v>
      </c>
      <c r="C7" s="2">
        <v>238</v>
      </c>
      <c r="F7" s="4"/>
      <c r="G7" s="2"/>
      <c r="H7" s="2"/>
      <c r="I7" s="12"/>
    </row>
    <row r="8" spans="1:9" x14ac:dyDescent="0.25">
      <c r="A8" s="4" t="s">
        <v>387</v>
      </c>
      <c r="B8" s="2">
        <v>1970</v>
      </c>
      <c r="C8" s="2">
        <v>358</v>
      </c>
      <c r="F8" s="4"/>
      <c r="G8" s="2"/>
      <c r="H8" s="2"/>
      <c r="I8" s="12"/>
    </row>
    <row r="9" spans="1:9" x14ac:dyDescent="0.25">
      <c r="A9" s="4" t="s">
        <v>388</v>
      </c>
      <c r="B9" s="2">
        <v>2259</v>
      </c>
      <c r="C9" s="2">
        <v>414</v>
      </c>
      <c r="F9" s="4"/>
      <c r="G9" s="2"/>
      <c r="H9" s="2"/>
      <c r="I9" s="12"/>
    </row>
    <row r="10" spans="1:9" x14ac:dyDescent="0.25">
      <c r="A10" s="4" t="s">
        <v>389</v>
      </c>
      <c r="B10" s="2">
        <v>1984</v>
      </c>
      <c r="C10" s="2">
        <v>360</v>
      </c>
      <c r="F10" s="4"/>
      <c r="G10" s="2"/>
      <c r="H10" s="2"/>
      <c r="I10" s="12"/>
    </row>
    <row r="11" spans="1:9" x14ac:dyDescent="0.25">
      <c r="A11" s="4" t="s">
        <v>390</v>
      </c>
      <c r="B11" s="2">
        <v>1028</v>
      </c>
      <c r="C11" s="2">
        <v>195</v>
      </c>
      <c r="F11" s="4"/>
      <c r="G11" s="2"/>
      <c r="H11" s="2"/>
      <c r="I11" s="12"/>
    </row>
    <row r="12" spans="1:9" x14ac:dyDescent="0.25">
      <c r="A12" s="4" t="s">
        <v>391</v>
      </c>
      <c r="B12" s="2">
        <v>1290</v>
      </c>
      <c r="C12" s="2">
        <v>245</v>
      </c>
      <c r="F12" s="4"/>
      <c r="G12" s="2"/>
      <c r="H12" s="2"/>
      <c r="I12" s="12"/>
    </row>
    <row r="13" spans="1:9" x14ac:dyDescent="0.25">
      <c r="A13" s="4" t="s">
        <v>392</v>
      </c>
      <c r="B13" s="2">
        <v>3100</v>
      </c>
      <c r="C13" s="2">
        <v>545</v>
      </c>
      <c r="F13" s="4"/>
      <c r="G13" s="2"/>
      <c r="H13" s="2"/>
      <c r="I13" s="12"/>
    </row>
    <row r="14" spans="1:9" x14ac:dyDescent="0.25">
      <c r="A14" s="4" t="s">
        <v>393</v>
      </c>
      <c r="B14" s="2">
        <v>1419</v>
      </c>
      <c r="C14" s="2">
        <v>245</v>
      </c>
      <c r="F14" s="4"/>
      <c r="G14" s="2"/>
      <c r="H14" s="2"/>
      <c r="I14" s="12"/>
    </row>
    <row r="15" spans="1:9" x14ac:dyDescent="0.25">
      <c r="A15" s="4" t="s">
        <v>394</v>
      </c>
      <c r="B15" s="2">
        <v>1524</v>
      </c>
      <c r="C15" s="2">
        <v>278</v>
      </c>
      <c r="F15" s="4"/>
      <c r="G15" s="2"/>
      <c r="H15" s="2"/>
      <c r="I15" s="12"/>
    </row>
    <row r="16" spans="1:9" x14ac:dyDescent="0.25">
      <c r="A16" s="4" t="s">
        <v>371</v>
      </c>
      <c r="B16" s="2">
        <v>23328</v>
      </c>
      <c r="C16" s="2">
        <v>4222</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E9053-EC9F-4A29-B31B-30A4036C945B}">
  <dimension ref="A3:D12"/>
  <sheetViews>
    <sheetView workbookViewId="0">
      <selection activeCell="C4" sqref="C4"/>
    </sheetView>
  </sheetViews>
  <sheetFormatPr defaultRowHeight="15" x14ac:dyDescent="0.25"/>
  <cols>
    <col min="1" max="1" width="18.28515625" bestFit="1" customWidth="1"/>
    <col min="2" max="3" width="14.85546875" bestFit="1" customWidth="1"/>
  </cols>
  <sheetData>
    <row r="3" spans="1:4" x14ac:dyDescent="0.25">
      <c r="A3" s="3" t="s">
        <v>370</v>
      </c>
      <c r="B3" t="s">
        <v>378</v>
      </c>
      <c r="D3" s="11">
        <f>SUM(B4:B11)</f>
        <v>18.924442280222891</v>
      </c>
    </row>
    <row r="4" spans="1:4" x14ac:dyDescent="0.25">
      <c r="A4" s="4" t="s">
        <v>70</v>
      </c>
      <c r="B4" s="11">
        <v>1.264979715769432</v>
      </c>
    </row>
    <row r="5" spans="1:4" x14ac:dyDescent="0.25">
      <c r="A5" s="4" t="s">
        <v>62</v>
      </c>
      <c r="B5" s="11">
        <v>2.285909462764482</v>
      </c>
    </row>
    <row r="6" spans="1:4" x14ac:dyDescent="0.25">
      <c r="A6" s="4" t="s">
        <v>16</v>
      </c>
      <c r="B6" s="11">
        <v>2.3575827485450933</v>
      </c>
    </row>
    <row r="7" spans="1:4" x14ac:dyDescent="0.25">
      <c r="A7" s="4" t="s">
        <v>55</v>
      </c>
      <c r="B7" s="11">
        <v>2.4206656716519568</v>
      </c>
    </row>
    <row r="8" spans="1:4" x14ac:dyDescent="0.25">
      <c r="A8" s="4" t="s">
        <v>48</v>
      </c>
      <c r="B8" s="11">
        <v>2.4695226211625418</v>
      </c>
    </row>
    <row r="9" spans="1:4" x14ac:dyDescent="0.25">
      <c r="A9" s="4" t="s">
        <v>34</v>
      </c>
      <c r="B9" s="11">
        <v>2.5203716273337964</v>
      </c>
    </row>
    <row r="10" spans="1:4" x14ac:dyDescent="0.25">
      <c r="A10" s="4" t="s">
        <v>26</v>
      </c>
      <c r="B10" s="11">
        <v>2.6323029089947507</v>
      </c>
    </row>
    <row r="11" spans="1:4" x14ac:dyDescent="0.25">
      <c r="A11" s="4" t="s">
        <v>40</v>
      </c>
      <c r="B11" s="11">
        <v>2.9731075240008362</v>
      </c>
    </row>
    <row r="12" spans="1:4" x14ac:dyDescent="0.25">
      <c r="A12" s="4" t="s">
        <v>371</v>
      </c>
      <c r="B12" s="11">
        <v>18.924442280222891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84518-E41D-4849-B63D-A047A1F74BE6}">
  <dimension ref="A3:B8"/>
  <sheetViews>
    <sheetView workbookViewId="0">
      <selection activeCell="K12" sqref="K12"/>
    </sheetView>
  </sheetViews>
  <sheetFormatPr defaultRowHeight="15" x14ac:dyDescent="0.25"/>
  <cols>
    <col min="1" max="1" width="18.85546875" bestFit="1" customWidth="1"/>
    <col min="2" max="2" width="12.7109375" bestFit="1" customWidth="1"/>
    <col min="3" max="3" width="14.85546875" bestFit="1" customWidth="1"/>
  </cols>
  <sheetData>
    <row r="3" spans="1:2" x14ac:dyDescent="0.25">
      <c r="A3" s="3" t="s">
        <v>370</v>
      </c>
      <c r="B3" t="s">
        <v>374</v>
      </c>
    </row>
    <row r="4" spans="1:2" x14ac:dyDescent="0.25">
      <c r="A4" s="4" t="s">
        <v>33</v>
      </c>
      <c r="B4" s="2">
        <v>350</v>
      </c>
    </row>
    <row r="5" spans="1:2" x14ac:dyDescent="0.25">
      <c r="A5" s="4" t="s">
        <v>61</v>
      </c>
      <c r="B5" s="2">
        <v>350</v>
      </c>
    </row>
    <row r="6" spans="1:2" x14ac:dyDescent="0.25">
      <c r="A6" s="4" t="s">
        <v>101</v>
      </c>
      <c r="B6" s="2">
        <v>360</v>
      </c>
    </row>
    <row r="7" spans="1:2" x14ac:dyDescent="0.25">
      <c r="A7" s="4" t="s">
        <v>112</v>
      </c>
      <c r="B7" s="2">
        <v>490</v>
      </c>
    </row>
    <row r="8" spans="1:2" x14ac:dyDescent="0.25">
      <c r="A8" s="4" t="s">
        <v>76</v>
      </c>
      <c r="B8" s="2">
        <v>560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3180-7A26-43C1-BF45-F4DB61BC1C58}">
  <dimension ref="A3:B9"/>
  <sheetViews>
    <sheetView workbookViewId="0">
      <selection activeCell="B5" sqref="B5"/>
    </sheetView>
  </sheetViews>
  <sheetFormatPr defaultRowHeight="15" x14ac:dyDescent="0.25"/>
  <cols>
    <col min="1" max="1" width="13.42578125" bestFit="1" customWidth="1"/>
    <col min="2" max="2" width="12.7109375" bestFit="1" customWidth="1"/>
  </cols>
  <sheetData>
    <row r="3" spans="1:2" x14ac:dyDescent="0.25">
      <c r="A3" s="3" t="s">
        <v>370</v>
      </c>
      <c r="B3" t="s">
        <v>374</v>
      </c>
    </row>
    <row r="4" spans="1:2" x14ac:dyDescent="0.25">
      <c r="A4" s="4" t="s">
        <v>31</v>
      </c>
      <c r="B4" s="2">
        <v>360</v>
      </c>
    </row>
    <row r="5" spans="1:2" x14ac:dyDescent="0.25">
      <c r="A5" s="4" t="s">
        <v>98</v>
      </c>
      <c r="B5" s="2">
        <v>480</v>
      </c>
    </row>
    <row r="6" spans="1:2" x14ac:dyDescent="0.25">
      <c r="A6" s="4" t="s">
        <v>105</v>
      </c>
      <c r="B6" s="2">
        <v>510</v>
      </c>
    </row>
    <row r="7" spans="1:2" x14ac:dyDescent="0.25">
      <c r="A7" s="4" t="s">
        <v>79</v>
      </c>
      <c r="B7" s="2">
        <v>560</v>
      </c>
    </row>
    <row r="8" spans="1:2" x14ac:dyDescent="0.25">
      <c r="A8" s="4" t="s">
        <v>44</v>
      </c>
      <c r="B8" s="2">
        <v>650</v>
      </c>
    </row>
    <row r="9" spans="1:2" x14ac:dyDescent="0.25">
      <c r="A9" s="4" t="s">
        <v>371</v>
      </c>
      <c r="B9" s="2">
        <v>2560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Final Dashboard</vt:lpstr>
      <vt:lpstr>data</vt:lpstr>
      <vt:lpstr>statewise profit</vt:lpstr>
      <vt:lpstr>Sheet6</vt:lpstr>
      <vt:lpstr>age group wise disease</vt:lpstr>
      <vt:lpstr>monthaly cost and %profit</vt:lpstr>
      <vt:lpstr>comanywise profit</vt:lpstr>
      <vt:lpstr>Top 5 profitable medicines</vt:lpstr>
      <vt:lpstr>Sheet10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RAJPUT VIJAYSINGH UDAYSINGH</cp:lastModifiedBy>
  <dcterms:created xsi:type="dcterms:W3CDTF">2026-03-23T18:22:45Z</dcterms:created>
  <dcterms:modified xsi:type="dcterms:W3CDTF">2026-03-27T16:14:14Z</dcterms:modified>
</cp:coreProperties>
</file>